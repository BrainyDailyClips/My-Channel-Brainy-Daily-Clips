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 Catalog" sheetId="1" state="visible" r:id="rId3"/>
    <sheet name="Bucket Summary" sheetId="2" state="visible" r:id="rId4"/>
    <sheet name="Pre-Publish Checkli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<sst xmlns="http://schemas.openxmlformats.org/spreadsheetml/2006/main" count="479" uniqueCount="314">
  <si>
    <t xml:space="preserve">#</t>
  </si>
  <si>
    <t xml:space="preserve">Title</t>
  </si>
  <si>
    <t xml:space="preserve">Approx Views</t>
  </si>
  <si>
    <t xml:space="preserve">Core Angle Bucket</t>
  </si>
  <si>
    <t xml:space="preserve">Specific Sub-Angle / Hook</t>
  </si>
  <si>
    <t xml:space="preserve">Near-Duplicate Flag</t>
  </si>
  <si>
    <t xml:space="preserve">Jealous Envious People The Most Dangerous Truth: 14 Signs Someone Is Extremely Envious Of You!</t>
  </si>
  <si>
    <t xml:space="preserve">8.8K</t>
  </si>
  <si>
    <t xml:space="preserve">Signs/Listicle - Envy</t>
  </si>
  <si>
    <t xml:space="preserve">14-item behavioral checklist for toxic envy</t>
  </si>
  <si>
    <t xml:space="preserve">Why The Most Dangerous Traits of Secret Envy Is Closer Than You Think — Carl Jung</t>
  </si>
  <si>
    <t xml:space="preserve">2.4K</t>
  </si>
  <si>
    <t xml:space="preserve">Jungian Shadow</t>
  </si>
  <si>
    <t xml:space="preserve">Projection - why close peers turn resentful/critical</t>
  </si>
  <si>
    <t xml:space="preserve">Why The Most Dangerous People Close to You Secretly Resent You — Carl Jung</t>
  </si>
  <si>
    <t xml:space="preserve">1.5K</t>
  </si>
  <si>
    <t xml:space="preserve">Detaching from disguised resentment in inner circle</t>
  </si>
  <si>
    <t xml:space="preserve">Close to #10, #22</t>
  </si>
  <si>
    <t xml:space="preserve">Carl Jung: NEVER Ignore These Dangerous Signs Someone Secretly Hates You | Carl Jung</t>
  </si>
  <si>
    <t xml:space="preserve">1.1K</t>
  </si>
  <si>
    <t xml:space="preserve">Jungian Shadow - Secret Hate</t>
  </si>
  <si>
    <t xml:space="preserve">Early recognition of covert hostility</t>
  </si>
  <si>
    <t xml:space="preserve">Close to #42,43,45,46,47</t>
  </si>
  <si>
    <t xml:space="preserve">The Only Thing Women Want – Machiavelli's Ruthless Truth About Female Nature</t>
  </si>
  <si>
    <t xml:space="preserve">848</t>
  </si>
  <si>
    <t xml:space="preserve">Outlier - Relationship Philosophy</t>
  </si>
  <si>
    <t xml:space="preserve">Classical-philosophy framing of relationship dynamics</t>
  </si>
  <si>
    <t xml:space="preserve">Jealous People Always Say And Do These 14 Things! (Reverse Psychology)</t>
  </si>
  <si>
    <t xml:space="preserve">846</t>
  </si>
  <si>
    <t xml:space="preserve">Reverse Psychology - Verbal/Behavioral</t>
  </si>
  <si>
    <t xml:space="preserve">Handling backhanded compliments via reverse psych</t>
  </si>
  <si>
    <t xml:space="preserve">Close to #1, #23, #60</t>
  </si>
  <si>
    <t xml:space="preserve">Secret Hate and Why The Most Dangerous People All Share This One Trait - Carl Jung</t>
  </si>
  <si>
    <t xml:space="preserve">810</t>
  </si>
  <si>
    <t xml:space="preserve">Why insecure people project flaws onto others</t>
  </si>
  <si>
    <t xml:space="preserve">Close to #4</t>
  </si>
  <si>
    <t xml:space="preserve">8 Signs Someone Might Secretly Envy You | Reverse Psychology</t>
  </si>
  <si>
    <t xml:space="preserve">727</t>
  </si>
  <si>
    <t xml:space="preserve">Decoding subtle social undermining</t>
  </si>
  <si>
    <t xml:space="preserve">Close to #1, #27</t>
  </si>
  <si>
    <t xml:space="preserve">The Most Dangerous Signs Someone Close to You Secretly Hates You: Carl Jung</t>
  </si>
  <si>
    <t xml:space="preserve">614</t>
  </si>
  <si>
    <t xml:space="preserve">Spotting red flags before trusting with sensitive info</t>
  </si>
  <si>
    <t xml:space="preserve">Close to #4, #47</t>
  </si>
  <si>
    <t xml:space="preserve">Why The Most Dangerous Jealousy Hides in People Close to You — Carl Jung</t>
  </si>
  <si>
    <t xml:space="preserve">436</t>
  </si>
  <si>
    <t xml:space="preserve">Jungian Shadow - Envy</t>
  </si>
  <si>
    <t xml:space="preserve">Envy within close circles / boundary-setting</t>
  </si>
  <si>
    <t xml:space="preserve">Close to #3, #65</t>
  </si>
  <si>
    <t xml:space="preserve">Why The Most Dangerous People Hide Their Jealousy Right Next to You — Jung &amp; Freud</t>
  </si>
  <si>
    <t xml:space="preserve">343</t>
  </si>
  <si>
    <t xml:space="preserve">Jungian/Freudian - Envy</t>
  </si>
  <si>
    <t xml:space="preserve">How close peers camouflage competitive jealousy</t>
  </si>
  <si>
    <t xml:space="preserve">Close to #10</t>
  </si>
  <si>
    <t xml:space="preserve">Why The Most Dangerous Trait Hides in Plain Sight — Carl Jung</t>
  </si>
  <si>
    <t xml:space="preserve">297</t>
  </si>
  <si>
    <t xml:space="preserve">Covert antagonism disguised as humor/honest feedback</t>
  </si>
  <si>
    <t xml:space="preserve">Toxic People Always Say These 7 Things — Catch Them Now | Reverse Psychology</t>
  </si>
  <si>
    <t xml:space="preserve">279</t>
  </si>
  <si>
    <t xml:space="preserve">Reverse Psychology - Verbal</t>
  </si>
  <si>
    <t xml:space="preserve">Decoding gaslighting/guilt-tripping phrases</t>
  </si>
  <si>
    <t xml:space="preserve">Close to #6</t>
  </si>
  <si>
    <t xml:space="preserve">Why The Most Dangerous Signs of Jealousy Are Hidden — Carl Jung</t>
  </si>
  <si>
    <t xml:space="preserve">253</t>
  </si>
  <si>
    <t xml:space="preserve">Subtle passive-aggressive patterns before escalation</t>
  </si>
  <si>
    <t xml:space="preserve">Close to #37, #64</t>
  </si>
  <si>
    <t xml:space="preserve">Why The Most Dangerous Jealousy Is Hidden in Plain Sight — Freud's Insight</t>
  </si>
  <si>
    <t xml:space="preserve">249</t>
  </si>
  <si>
    <t xml:space="preserve">Freudian - Envy</t>
  </si>
  <si>
    <t xml:space="preserve">Insecure people acting out when peer succeeds</t>
  </si>
  <si>
    <t xml:space="preserve">Close to #14, #37, #64</t>
  </si>
  <si>
    <t xml:space="preserve">These Four Pillars of Immanuel Kant Will Make Old Age Happy | Philosophy and Psychology</t>
  </si>
  <si>
    <t xml:space="preserve">202</t>
  </si>
  <si>
    <t xml:space="preserve">Outlier - Aging/Philosophy</t>
  </si>
  <si>
    <t xml:space="preserve">Framework to overcome aging anxiety and regret</t>
  </si>
  <si>
    <t xml:space="preserve">Carl Jung: Never Ignore The Most Dangerous Trait Shared by All Nice People — Carl Jung</t>
  </si>
  <si>
    <t xml:space="preserve">198</t>
  </si>
  <si>
    <t xml:space="preserve">Jungian Shadow - People-Pleasing</t>
  </si>
  <si>
    <t xml:space="preserve">People-pleasing and hidden resentment</t>
  </si>
  <si>
    <t xml:space="preserve">People Who Imagine Fake Scenarios (the benefits no one tells you)</t>
  </si>
  <si>
    <t xml:space="preserve">197</t>
  </si>
  <si>
    <t xml:space="preserve">Outlier - Daydreaming</t>
  </si>
  <si>
    <t xml:space="preserve">Reframing maladaptive daydreaming as a tool</t>
  </si>
  <si>
    <t xml:space="preserve">The Most Dangerous Sign in a Person — Plus 7 Toxic Traits and How to Outsmart Them | Carl Jung</t>
  </si>
  <si>
    <t xml:space="preserve">180</t>
  </si>
  <si>
    <t xml:space="preserve">Jungian Shadow + Reverse Psych</t>
  </si>
  <si>
    <t xml:space="preserve">Counter-strategies to neutralize manipulators</t>
  </si>
  <si>
    <t xml:space="preserve">How to Make People Fear Disrespecting You! | A Motivational Speech on self-respect and boundaries</t>
  </si>
  <si>
    <t xml:space="preserve">178</t>
  </si>
  <si>
    <t xml:space="preserve">Respect/Boundaries - Disrespect</t>
  </si>
  <si>
    <t xml:space="preserve">Establishing unshakable self-worth and boundaries</t>
  </si>
  <si>
    <t xml:space="preserve">Close to #61, #75</t>
  </si>
  <si>
    <t xml:space="preserve">Why The Most Dangerous Power Lies in Silent Detachment — Carl Jung</t>
  </si>
  <si>
    <t xml:space="preserve">N/A</t>
  </si>
  <si>
    <t xml:space="preserve">Jungian Shadow - Detachment</t>
  </si>
  <si>
    <t xml:space="preserve">Emotional detachment so others can't manipulate reactions</t>
  </si>
  <si>
    <t xml:space="preserve">Why The Most Dangerous Enemies Hide Among Those You Trust — Carl Jung</t>
  </si>
  <si>
    <t xml:space="preserve">Betrayal/Trust</t>
  </si>
  <si>
    <t xml:space="preserve">Spotting covert disloyalty in close circles</t>
  </si>
  <si>
    <t xml:space="preserve">Close to #38</t>
  </si>
  <si>
    <t xml:space="preserve">Jealous People Always Say and Do These 8 Things! (Reverse Psychology)</t>
  </si>
  <si>
    <t xml:space="preserve">Identifying disguised envy / quick mental tools</t>
  </si>
  <si>
    <t xml:space="preserve">Close to #1, #6, #60</t>
  </si>
  <si>
    <t xml:space="preserve">Jealous Envious People Always Say and Do These 3 Things (Reverse Psychology)</t>
  </si>
  <si>
    <t xml:space="preserve">Immediate verbal giveaways of jealousy</t>
  </si>
  <si>
    <t xml:space="preserve">Close to #1, #6, #23</t>
  </si>
  <si>
    <t xml:space="preserve">How to Stop Getting Angry When Someone Reacts to You With Secret Hate! Stoicism</t>
  </si>
  <si>
    <t xml:space="preserve">Stoicism - Composure</t>
  </si>
  <si>
    <t xml:space="preserve">Stoic mindset shifts for unprovoked animosity</t>
  </si>
  <si>
    <t xml:space="preserve">Close to #72</t>
  </si>
  <si>
    <t xml:space="preserve">14 Genius Ways to Outsmart Manipulators: Use Their Rejection to Your Advantage | Reverse Psychology</t>
  </si>
  <si>
    <t xml:space="preserve">Manipulation Tactics</t>
  </si>
  <si>
    <t xml:space="preserve">Reframing rejection into leverage</t>
  </si>
  <si>
    <t xml:space="preserve">Why The Most Dangerous People All Share These 14 Hidden Signs of Envy — Carl Jung</t>
  </si>
  <si>
    <t xml:space="preserve">Deep-dive on micro-behaviors of covert envy</t>
  </si>
  <si>
    <t xml:space="preserve">Close to #1, #8</t>
  </si>
  <si>
    <t xml:space="preserve">Never Ignore These Signs When Fed-Up Empaths React To Secret Hate | Carl Jung</t>
  </si>
  <si>
    <t xml:space="preserve">Jungian Shadow - Empaths</t>
  </si>
  <si>
    <t xml:space="preserve">Empaths reaching their limit with negativity</t>
  </si>
  <si>
    <t xml:space="preserve">Toxic Envy Exposed: These 8 Behaviors Never Lie</t>
  </si>
  <si>
    <t xml:space="preserve">Undeniable behavioral patterns exposing resentment</t>
  </si>
  <si>
    <t xml:space="preserve">Highly Likable People Do And Say these 4 Things | Reverse Psychology</t>
  </si>
  <si>
    <t xml:space="preserve">Outlier - Likability/Charisma</t>
  </si>
  <si>
    <t xml:space="preserve">Psychological foundations of authentic charisma</t>
  </si>
  <si>
    <t xml:space="preserve">Why The Most Dangerous People Use This One Jealousy Trick</t>
  </si>
  <si>
    <t xml:space="preserve">291</t>
  </si>
  <si>
    <t xml:space="preserve">Jealousy - Manipulation</t>
  </si>
  <si>
    <t xml:space="preserve">Subtle boundary erosion by competitive acquaintances</t>
  </si>
  <si>
    <t xml:space="preserve">Jealous People Always Ask These 7 Questions (Don't Get Tricked Out Of Your Spot)</t>
  </si>
  <si>
    <t xml:space="preserve">Jealousy - Verbal/Questions</t>
  </si>
  <si>
    <t xml:space="preserve">Probing questions designed to extract info / doubt</t>
  </si>
  <si>
    <t xml:space="preserve">How To Spot Burnout or Laziness? Understanding the Difference! It's Easy, Actually!</t>
  </si>
  <si>
    <t xml:space="preserve">278</t>
  </si>
  <si>
    <t xml:space="preserve">Outlier - Burnout/Motivation</t>
  </si>
  <si>
    <t xml:space="preserve">Rest vs. lack of motivation distinction</t>
  </si>
  <si>
    <t xml:space="preserve">How To Invest In Yourself! Taraji P Henson and A Bonus From Oprah! It's Easy, Actually!</t>
  </si>
  <si>
    <t xml:space="preserve">268</t>
  </si>
  <si>
    <t xml:space="preserve">Outlier - Self-Investment/Celebrity</t>
  </si>
  <si>
    <t xml:space="preserve">Overcoming imposter syndrome re: personal growth</t>
  </si>
  <si>
    <t xml:space="preserve">Why The Most Dangerous Reaction To Disrespect Costs You — And How To Command Respect Instead</t>
  </si>
  <si>
    <t xml:space="preserve">Respect/Boundaries - Commanding Respect</t>
  </si>
  <si>
    <t xml:space="preserve">High-status emotional regulation replacing reactive anger</t>
  </si>
  <si>
    <t xml:space="preserve">Close to #20, #75</t>
  </si>
  <si>
    <t xml:space="preserve">Why The Most Dangerous People Hide Their Hate — And How To Spot Them</t>
  </si>
  <si>
    <t xml:space="preserve">250</t>
  </si>
  <si>
    <t xml:space="preserve">Jungian-adjacent - Hidden Hate</t>
  </si>
  <si>
    <t xml:space="preserve">Incongruencies between what covertly hostile people say/do</t>
  </si>
  <si>
    <t xml:space="preserve">Close to #4, #52</t>
  </si>
  <si>
    <t xml:space="preserve">Why The Most Dangerous Envy Is What You Don't See Coming</t>
  </si>
  <si>
    <t xml:space="preserve">245</t>
  </si>
  <si>
    <t xml:space="preserve">Envy - Blindspot</t>
  </si>
  <si>
    <t xml:space="preserve">Spotting latent rivalry before gossip/sabotage</t>
  </si>
  <si>
    <t xml:space="preserve">Close to #14, #15, #64</t>
  </si>
  <si>
    <t xml:space="preserve">Why The Most Dangerous Attacks Come From Those You Least Expect</t>
  </si>
  <si>
    <t xml:space="preserve">244</t>
  </si>
  <si>
    <t xml:space="preserve">Emotional betrayal from allies; proximity breeds competition</t>
  </si>
  <si>
    <t xml:space="preserve">Close to #22</t>
  </si>
  <si>
    <t xml:space="preserve">Why Pretending to Be Extroverted Is Ruining Your Relationships</t>
  </si>
  <si>
    <t xml:space="preserve">231</t>
  </si>
  <si>
    <t xml:space="preserve">Outlier - Introversion/Masking</t>
  </si>
  <si>
    <t xml:space="preserve">Stopping social masking for authentic communication</t>
  </si>
  <si>
    <t xml:space="preserve">Why The Most Dangerous Jealousy Hides in Subtle Ways — And How to Protect Yourself</t>
  </si>
  <si>
    <t xml:space="preserve">188</t>
  </si>
  <si>
    <t xml:space="preserve">Jealousy - Subtle Signs</t>
  </si>
  <si>
    <t xml:space="preserve">Self-defense mechanisms against micro-aggressions</t>
  </si>
  <si>
    <t xml:space="preserve">Close to #10, #11, #65</t>
  </si>
  <si>
    <t xml:space="preserve">Why You Should Never Ignore The Most Dangerous Jealous Words Come From Those You Trust — Carl Jung</t>
  </si>
  <si>
    <t xml:space="preserve">Jealousy - Verbal/Trust</t>
  </si>
  <si>
    <t xml:space="preserve">Manipulative verbal patterns disguised as friendly advice</t>
  </si>
  <si>
    <t xml:space="preserve">Close to #67</t>
  </si>
  <si>
    <t xml:space="preserve">These People Secretly Hate You: Never Ignore Signs of Jealousy: Carl Jung</t>
  </si>
  <si>
    <t xml:space="preserve">Covert animosity from acquaintances</t>
  </si>
  <si>
    <t xml:space="preserve">Close to #4,9,43,45,46,47</t>
  </si>
  <si>
    <t xml:space="preserve">If Someone Secretly Hates You: Never Ignore These Signs of Jealousy I Carl Jung</t>
  </si>
  <si>
    <t xml:space="preserve">Interpersonal signals of hidden hostility</t>
  </si>
  <si>
    <t xml:space="preserve">Near-dup of #42</t>
  </si>
  <si>
    <t xml:space="preserve">If You Notice These 5-habits They're A Fake Friend</t>
  </si>
  <si>
    <t xml:space="preserve">Fake Friends</t>
  </si>
  <si>
    <t xml:space="preserve">Auditing shallow one-sided friendships</t>
  </si>
  <si>
    <t xml:space="preserve">Close to #70</t>
  </si>
  <si>
    <t xml:space="preserve">Jealous People Use Reverse Psychology: Never Ignore These Signs Someone Secretly Hates You!</t>
  </si>
  <si>
    <t xml:space="preserve">Jealousy/Reverse Psych - Secret Hate</t>
  </si>
  <si>
    <t xml:space="preserve">Behavioral reversals envious peers use to test reactions</t>
  </si>
  <si>
    <t xml:space="preserve">Near-dup of #42, #43</t>
  </si>
  <si>
    <t xml:space="preserve">If Someone Secretly Hates You Never Ignore This Dangerous Trait! Carl Jung</t>
  </si>
  <si>
    <t xml:space="preserve">Single most telling indicator of concealed contempt</t>
  </si>
  <si>
    <t xml:space="preserve">Near-dup of #42, #43, #45</t>
  </si>
  <si>
    <t xml:space="preserve">If You See These Signs It Means Someone Close Secretly Hates You! Carl Jung</t>
  </si>
  <si>
    <t xml:space="preserve">Early micro-expressions of dislike before conflict</t>
  </si>
  <si>
    <t xml:space="preserve">Near-dup of #4, #9, #42</t>
  </si>
  <si>
    <t xml:space="preserve">Never Ignore The Most Dangerous Power Move When Someone Secretly Hates You!</t>
  </si>
  <si>
    <t xml:space="preserve">Power Dynamics - Secret Hate</t>
  </si>
  <si>
    <t xml:space="preserve">Passive power struggles / undermining tactics</t>
  </si>
  <si>
    <t xml:space="preserve">Jealous People Always Say These Words | Carl Jung and Reverse Psychology</t>
  </si>
  <si>
    <t xml:space="preserve">Jealousy - Verbal Cues</t>
  </si>
  <si>
    <t xml:space="preserve">Spotting backhanded praise / verbal deflation</t>
  </si>
  <si>
    <t xml:space="preserve">Close to #6, #23, #24, #32</t>
  </si>
  <si>
    <t xml:space="preserve">Why The Most Dangerous Jealousy Destroys Friendships — Carl Jung</t>
  </si>
  <si>
    <t xml:space="preserve">Fake Friends/Friendship Fallout</t>
  </si>
  <si>
    <t xml:space="preserve">Unbalanced growth breeding friendship rifts</t>
  </si>
  <si>
    <t xml:space="preserve">Close to #65</t>
  </si>
  <si>
    <t xml:space="preserve">Why The Most Dangerous Connections Are the Hardest to Forget</t>
  </si>
  <si>
    <t xml:space="preserve">Outlier - Toxic Attachment/Rumination</t>
  </si>
  <si>
    <t xml:space="preserve">Breaking rumination cycles on toxic dynamics</t>
  </si>
  <si>
    <t xml:space="preserve">Close to #69</t>
  </si>
  <si>
    <t xml:space="preserve">Never Ignore The Most Dangerous Emotion Hiding in Someone that Secretly Hates You!</t>
  </si>
  <si>
    <t xml:space="preserve">170</t>
  </si>
  <si>
    <t xml:space="preserve">Jungian-adjacent - Secret Hate</t>
  </si>
  <si>
    <t xml:space="preserve">Hidden contempt beneath everyday pleasantries</t>
  </si>
  <si>
    <t xml:space="preserve">Close to #36, #42</t>
  </si>
  <si>
    <t xml:space="preserve">10 Signs You're More Healed Than You Realize | Carl Jung and Reverse Psychology</t>
  </si>
  <si>
    <t xml:space="preserve">165</t>
  </si>
  <si>
    <t xml:space="preserve">Outlier - Healing/Positive</t>
  </si>
  <si>
    <t xml:space="preserve">Subtle indicators of emotional maturity</t>
  </si>
  <si>
    <t xml:space="preserve">You Are A High-Value Person If You Do This...</t>
  </si>
  <si>
    <t xml:space="preserve">142</t>
  </si>
  <si>
    <t xml:space="preserve">Self-Worth/High-Value</t>
  </si>
  <si>
    <t xml:space="preserve">Self-worth away from external validation</t>
  </si>
  <si>
    <t xml:space="preserve">They Can't Compete With You So They Say This</t>
  </si>
  <si>
    <t xml:space="preserve">135</t>
  </si>
  <si>
    <t xml:space="preserve">Jealousy - Verbal Putdowns</t>
  </si>
  <si>
    <t xml:space="preserve">Decoding put-downs from insecure peers</t>
  </si>
  <si>
    <t xml:space="preserve">Close to #32, #49</t>
  </si>
  <si>
    <t xml:space="preserve">How to stop wasting your energy on the wrong people</t>
  </si>
  <si>
    <t xml:space="preserve">120</t>
  </si>
  <si>
    <t xml:space="preserve">Boundaries - Energy Management</t>
  </si>
  <si>
    <t xml:space="preserve">Recognizing one-sided dynamics, redirecting focus</t>
  </si>
  <si>
    <t xml:space="preserve">They are extremely jealous of you</t>
  </si>
  <si>
    <t xml:space="preserve">115</t>
  </si>
  <si>
    <t xml:space="preserve">Jealousy - Validation</t>
  </si>
  <si>
    <t xml:space="preserve">Validating intuition re: cold shifts from former allies</t>
  </si>
  <si>
    <t xml:space="preserve">Close to #31, #40</t>
  </si>
  <si>
    <t xml:space="preserve">The Real Reason People Don't Like You</t>
  </si>
  <si>
    <t xml:space="preserve">95</t>
  </si>
  <si>
    <t xml:space="preserve">Outlier - Dislike/Boundaries</t>
  </si>
  <si>
    <t xml:space="preserve">Why boundaries/non-conformity trigger discomfort</t>
  </si>
  <si>
    <t xml:space="preserve">10 Signs Someone Is Secretly Jealous of You (It's Their Insecurity, Not Your Fault)</t>
  </si>
  <si>
    <t xml:space="preserve">85</t>
  </si>
  <si>
    <t xml:space="preserve">Signs/Listicle - Jealousy</t>
  </si>
  <si>
    <t xml:space="preserve">Framing hostility as the other person's internal struggle</t>
  </si>
  <si>
    <t xml:space="preserve">Close to #1, #8, #27</t>
  </si>
  <si>
    <t xml:space="preserve">Jealous People Always Do These 14 Things</t>
  </si>
  <si>
    <t xml:space="preserve">70</t>
  </si>
  <si>
    <t xml:space="preserve">Fast reference guide for toxic behavioral patterns</t>
  </si>
  <si>
    <t xml:space="preserve">Near-dup of #1, #6, #23</t>
  </si>
  <si>
    <t xml:space="preserve">How To Make People Fear Disrespecting You (Without Revenge)</t>
  </si>
  <si>
    <t xml:space="preserve">Commanding respect/boundaries without retaliation</t>
  </si>
  <si>
    <t xml:space="preserve">Near-dup of #20; scripted twice already (script_4, script_5)</t>
  </si>
  <si>
    <t xml:space="preserve">The Smart Way To Deal With Toxic Questions</t>
  </si>
  <si>
    <t xml:space="preserve">Boundaries - Deflection</t>
  </si>
  <si>
    <t xml:space="preserve">Conversational deflections for intrusive/hostile questions</t>
  </si>
  <si>
    <t xml:space="preserve">Why The Most Dangerous Envy Could Be Your Secret To Success</t>
  </si>
  <si>
    <t xml:space="preserve">Envy - Reframe</t>
  </si>
  <si>
    <t xml:space="preserve">Channeling others' negative projections into self-improvement</t>
  </si>
  <si>
    <t xml:space="preserve">Why The Most Dangerous Jealousy Is the One You Don't See Coming</t>
  </si>
  <si>
    <t xml:space="preserve">Detecting subtle shifts before betrayal</t>
  </si>
  <si>
    <t xml:space="preserve">Near-dup of #37</t>
  </si>
  <si>
    <t xml:space="preserve">Why The Most Dangerous Jealousy Lives in Your Closest Friends</t>
  </si>
  <si>
    <t xml:space="preserve">Recognizing when a close friend feels threatened by growth</t>
  </si>
  <si>
    <t xml:space="preserve">Close to #3, #10, #50</t>
  </si>
  <si>
    <t xml:space="preserve">Why the Most Dangerous Betrayals Should Never Be Forgiven</t>
  </si>
  <si>
    <t xml:space="preserve">Emotional closure after calculated disloyalty</t>
  </si>
  <si>
    <t xml:space="preserve">Why The Most Dangerous Things Jealous People Say Sound Innocent — But Aren't</t>
  </si>
  <si>
    <t xml:space="preserve">Decoding veiled sarcasm/double-edged praise</t>
  </si>
  <si>
    <t xml:space="preserve">Close to #41, #49</t>
  </si>
  <si>
    <t xml:space="preserve">Why The Most Dangerous Disrespect Is the Kind You Don't Notice Until It's Too Late.</t>
  </si>
  <si>
    <t xml:space="preserve">Respect/Boundaries - Micro-Disrespect</t>
  </si>
  <si>
    <t xml:space="preserve">Catching small incremental disrespect early</t>
  </si>
  <si>
    <t xml:space="preserve">Close to #20, #35, #61, #75</t>
  </si>
  <si>
    <t xml:space="preserve">Living In Memories Is Destroying Your Peace</t>
  </si>
  <si>
    <t xml:space="preserve">Outlier - Rumination/Past</t>
  </si>
  <si>
    <t xml:space="preserve">Reclaiming clarity from past regrets</t>
  </si>
  <si>
    <t xml:space="preserve">Close to #51</t>
  </si>
  <si>
    <t xml:space="preserve">Why The Most Dangerous Fake Friends Are Closer Than You Think — And How To Protect Yourself</t>
  </si>
  <si>
    <t xml:space="preserve">Spotting fair-weather friends who drain energy</t>
  </si>
  <si>
    <t xml:space="preserve">Close to #44</t>
  </si>
  <si>
    <t xml:space="preserve">Why The Most Dangerous Chase Is Success Without Peace — My 30-Year Truth</t>
  </si>
  <si>
    <t xml:space="preserve">Outlier - Ambition/Burnout</t>
  </si>
  <si>
    <t xml:space="preserve">Avoiding trading well-being for milestones</t>
  </si>
  <si>
    <t xml:space="preserve">Why The Most Dangerous Reaction To Rudeness Makes You Stronger</t>
  </si>
  <si>
    <t xml:space="preserve">Neutralizing unprovoked rudeness via composure</t>
  </si>
  <si>
    <t xml:space="preserve">Close to #25</t>
  </si>
  <si>
    <t xml:space="preserve">Why The Most Dangerous Word-Twisting Trick Works — And How to Outsmart It</t>
  </si>
  <si>
    <t xml:space="preserve">Manipulation Tactics - Gaslighting</t>
  </si>
  <si>
    <t xml:space="preserve">Disarming gaslighting/manipulative debate tactics</t>
  </si>
  <si>
    <t xml:space="preserve">Close to #26</t>
  </si>
  <si>
    <t xml:space="preserve">Why The Most Dangerous Habits Are The Smallest — And How They Shape Your Life</t>
  </si>
  <si>
    <t xml:space="preserve">Outlier - Habits/Self-Improvement</t>
  </si>
  <si>
    <t xml:space="preserve">Replacing self-sabotaging routines with high-leverage habits</t>
  </si>
  <si>
    <t xml:space="preserve">Why The Most Dangerous Mistake Is Ignoring How To Earn Respect — And How To Fix It</t>
  </si>
  <si>
    <t xml:space="preserve">Respect/Boundaries - Earning Respect</t>
  </si>
  <si>
    <t xml:space="preserve">Why people-pleasing undermines authority</t>
  </si>
  <si>
    <t xml:space="preserve">Close to #20, #35, #68</t>
  </si>
  <si>
    <t xml:space="preserve">Video Count</t>
  </si>
  <si>
    <t xml:space="preserve">Status</t>
  </si>
  <si>
    <t xml:space="preserve">Saturated - needs a genuinely new mechanism to add here</t>
  </si>
  <si>
    <t xml:space="preserve">Cannibalization Audit — Run Before Locking Any New Title</t>
  </si>
  <si>
    <t xml:space="preserve">Step 1 — Identify the bucket</t>
  </si>
  <si>
    <t xml:space="preserve">☐  Which Core Angle Bucket (see 'Bucket Summary' tab) does the new idea fall into? If it doesn't fit any existing bucket, that's a strong green light — it's genuinely new ground.</t>
  </si>
  <si>
    <t xml:space="preserve">☐  Check the bucket's count. 3+ videos already in that bucket means the next one needs a real reason to exist, not just a new adjective in the title.</t>
  </si>
  <si>
    <t xml:space="preserve">Step 2 — Check the specific mechanism, not just the topic</t>
  </si>
  <si>
    <t xml:space="preserve">☐  Open the 'Content Catalog' tab, filter to that bucket, and read the 'Specific Sub-Angle / Hook' column. Does any existing video already use the exact same mechanism (same behavior, same reveal, same resolution)?</t>
  </si>
  <si>
    <t xml:space="preserve">☐  Same topic + different mechanism = OK to publish. Same topic + same mechanism + different adjective in the title = cannibalization risk, even if the exact keyword phrase looks different.</t>
  </si>
  <si>
    <t xml:space="preserve">Step 3 — Check against the 'Near-Duplicate Flag' column</t>
  </si>
  <si>
    <t xml:space="preserve">☐  Rows already flagged as close to each other show you what the channel's actual repeat pattern looks like (same secret-hate/Jungian angle repeated 6+ times, for example). Don't add a 7th without a new mechanism.</t>
  </si>
  <si>
    <t xml:space="preserve">☐  If the new idea would flag against 2+ existing rows, stop and sharpen the angle before building the thumbnail or script.</t>
  </si>
  <si>
    <t xml:space="preserve">Step 4 — Check search intent, not just title wording</t>
  </si>
  <si>
    <t xml:space="preserve">☐  Would a viewer searching for this new title also be satisfied by clicking an existing video? If yes, that's search-intent overlap even with zero shared words in the title — this is the same mechanic that caused the Studio-flagged cannibalization on the signs-of-jealousy cluster.</t>
  </si>
  <si>
    <t xml:space="preserve">☐  VidIQ's keyword target for the new idea should be a genuinely different search term from any keyword already heavily used in that bucket (see Bucket Summary), not just a different phrasing of the same intent.</t>
  </si>
  <si>
    <t xml:space="preserve">Step 5 — Decide</t>
  </si>
  <si>
    <t xml:space="preserve">☐  New bucket, or new mechanism inside an existing bucket, or a materially different search intent → proceed to Tuesday's thumbnail/title lock.</t>
  </si>
  <si>
    <t xml:space="preserve">☐  Same bucket + same mechanism + same search intent → either fold the new angle into an existing video as an update, or shelve the idea and pick a different one from the research list.</t>
  </si>
  <si>
    <t xml:space="preserve">Note</t>
  </si>
  <si>
    <t xml:space="preserve">☐  Low view counts on most existing videos don't exempt a topic from this check — a video with 100 views still occupies that search intent and can still split impressions with a new upload.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</si>
</sst>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4"/>
      <color rgb="FF2F549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44"/>
    <col collapsed="false" customWidth="true" hidden="false" outlineLevel="0" max="6" min="6" style="0" width="30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30" hidden="false" customHeight="true" outlineLevel="0" collapsed="false">
      <c r="A2" s="2" t="n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/>
    </row>
    <row r="3" customFormat="false" ht="30" hidden="false" customHeight="true" outlineLevel="0" collapsed="false">
      <c r="A3" s="2" t="n">
        <v>2</v>
      </c>
      <c r="B3" s="2" t="s">
        <v>10</v>
      </c>
      <c r="C3" s="2" t="s">
        <v>11</v>
      </c>
      <c r="D3" s="2" t="s">
        <v>12</v>
      </c>
      <c r="E3" s="2" t="s">
        <v>13</v>
      </c>
      <c r="F3" s="2"/>
    </row>
    <row r="4" customFormat="false" ht="30" hidden="false" customHeight="true" outlineLevel="0" collapsed="false">
      <c r="A4" s="3" t="n">
        <v>3</v>
      </c>
      <c r="B4" s="3" t="s">
        <v>14</v>
      </c>
      <c r="C4" s="3" t="s">
        <v>15</v>
      </c>
      <c r="D4" s="3" t="s">
        <v>12</v>
      </c>
      <c r="E4" s="3" t="s">
        <v>16</v>
      </c>
      <c r="F4" s="3" t="s">
        <v>17</v>
      </c>
    </row>
    <row r="5" customFormat="false" ht="30" hidden="false" customHeight="true" outlineLevel="0" collapsed="false">
      <c r="A5" s="3" t="n">
        <v>4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</row>
    <row r="6" customFormat="false" ht="30" hidden="false" customHeight="true" outlineLevel="0" collapsed="false">
      <c r="A6" s="2" t="n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/>
    </row>
    <row r="7" customFormat="false" ht="30" hidden="false" customHeight="true" outlineLevel="0" collapsed="false">
      <c r="A7" s="3" t="n">
        <v>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</row>
    <row r="8" customFormat="false" ht="30" hidden="false" customHeight="true" outlineLevel="0" collapsed="false">
      <c r="A8" s="3" t="n">
        <v>7</v>
      </c>
      <c r="B8" s="3" t="s">
        <v>32</v>
      </c>
      <c r="C8" s="3" t="s">
        <v>33</v>
      </c>
      <c r="D8" s="3" t="s">
        <v>20</v>
      </c>
      <c r="E8" s="3" t="s">
        <v>34</v>
      </c>
      <c r="F8" s="3" t="s">
        <v>35</v>
      </c>
    </row>
    <row r="9" customFormat="false" ht="30" hidden="false" customHeight="true" outlineLevel="0" collapsed="false">
      <c r="A9" s="3" t="n">
        <v>8</v>
      </c>
      <c r="B9" s="3" t="s">
        <v>36</v>
      </c>
      <c r="C9" s="3" t="s">
        <v>37</v>
      </c>
      <c r="D9" s="3" t="s">
        <v>8</v>
      </c>
      <c r="E9" s="3" t="s">
        <v>38</v>
      </c>
      <c r="F9" s="3" t="s">
        <v>39</v>
      </c>
    </row>
    <row r="10" customFormat="false" ht="30" hidden="false" customHeight="true" outlineLevel="0" collapsed="false">
      <c r="A10" s="3" t="n">
        <v>9</v>
      </c>
      <c r="B10" s="3" t="s">
        <v>40</v>
      </c>
      <c r="C10" s="3" t="s">
        <v>41</v>
      </c>
      <c r="D10" s="3" t="s">
        <v>20</v>
      </c>
      <c r="E10" s="3" t="s">
        <v>42</v>
      </c>
      <c r="F10" s="3" t="s">
        <v>43</v>
      </c>
    </row>
    <row r="11" customFormat="false" ht="30" hidden="false" customHeight="true" outlineLevel="0" collapsed="false">
      <c r="A11" s="3" t="n">
        <v>10</v>
      </c>
      <c r="B11" s="3" t="s">
        <v>44</v>
      </c>
      <c r="C11" s="3" t="s">
        <v>45</v>
      </c>
      <c r="D11" s="3" t="s">
        <v>46</v>
      </c>
      <c r="E11" s="3" t="s">
        <v>47</v>
      </c>
      <c r="F11" s="3" t="s">
        <v>48</v>
      </c>
    </row>
    <row r="12" customFormat="false" ht="30" hidden="false" customHeight="true" outlineLevel="0" collapsed="false">
      <c r="A12" s="3" t="n">
        <v>11</v>
      </c>
      <c r="B12" s="3" t="s">
        <v>49</v>
      </c>
      <c r="C12" s="3" t="s">
        <v>50</v>
      </c>
      <c r="D12" s="3" t="s">
        <v>51</v>
      </c>
      <c r="E12" s="3" t="s">
        <v>52</v>
      </c>
      <c r="F12" s="3" t="s">
        <v>53</v>
      </c>
    </row>
    <row r="13" customFormat="false" ht="30" hidden="false" customHeight="true" outlineLevel="0" collapsed="false">
      <c r="A13" s="2" t="n">
        <v>12</v>
      </c>
      <c r="B13" s="2" t="s">
        <v>54</v>
      </c>
      <c r="C13" s="2" t="s">
        <v>55</v>
      </c>
      <c r="D13" s="2" t="s">
        <v>12</v>
      </c>
      <c r="E13" s="2" t="s">
        <v>56</v>
      </c>
      <c r="F13" s="2"/>
    </row>
    <row r="14" customFormat="false" ht="30" hidden="false" customHeight="true" outlineLevel="0" collapsed="false">
      <c r="A14" s="3" t="n">
        <v>13</v>
      </c>
      <c r="B14" s="3" t="s">
        <v>57</v>
      </c>
      <c r="C14" s="3" t="s">
        <v>58</v>
      </c>
      <c r="D14" s="3" t="s">
        <v>59</v>
      </c>
      <c r="E14" s="3" t="s">
        <v>60</v>
      </c>
      <c r="F14" s="3" t="s">
        <v>61</v>
      </c>
    </row>
    <row r="15" customFormat="false" ht="30" hidden="false" customHeight="true" outlineLevel="0" collapsed="false">
      <c r="A15" s="3" t="n">
        <v>14</v>
      </c>
      <c r="B15" s="3" t="s">
        <v>62</v>
      </c>
      <c r="C15" s="3" t="s">
        <v>63</v>
      </c>
      <c r="D15" s="3" t="s">
        <v>46</v>
      </c>
      <c r="E15" s="3" t="s">
        <v>64</v>
      </c>
      <c r="F15" s="3" t="s">
        <v>65</v>
      </c>
    </row>
    <row r="16" customFormat="false" ht="30" hidden="false" customHeight="true" outlineLevel="0" collapsed="false">
      <c r="A16" s="3" t="n">
        <v>15</v>
      </c>
      <c r="B16" s="3" t="s">
        <v>66</v>
      </c>
      <c r="C16" s="3" t="s">
        <v>67</v>
      </c>
      <c r="D16" s="3" t="s">
        <v>68</v>
      </c>
      <c r="E16" s="3" t="s">
        <v>69</v>
      </c>
      <c r="F16" s="3" t="s">
        <v>70</v>
      </c>
    </row>
    <row r="17" customFormat="false" ht="30" hidden="false" customHeight="true" outlineLevel="0" collapsed="false">
      <c r="A17" s="2" t="n">
        <v>16</v>
      </c>
      <c r="B17" s="2" t="s">
        <v>71</v>
      </c>
      <c r="C17" s="2" t="s">
        <v>72</v>
      </c>
      <c r="D17" s="2" t="s">
        <v>73</v>
      </c>
      <c r="E17" s="2" t="s">
        <v>74</v>
      </c>
      <c r="F17" s="2"/>
    </row>
    <row r="18" customFormat="false" ht="30" hidden="false" customHeight="true" outlineLevel="0" collapsed="false">
      <c r="A18" s="2" t="n">
        <v>17</v>
      </c>
      <c r="B18" s="2" t="s">
        <v>75</v>
      </c>
      <c r="C18" s="2" t="s">
        <v>76</v>
      </c>
      <c r="D18" s="2" t="s">
        <v>77</v>
      </c>
      <c r="E18" s="2" t="s">
        <v>78</v>
      </c>
      <c r="F18" s="2"/>
    </row>
    <row r="19" customFormat="false" ht="30" hidden="false" customHeight="true" outlineLevel="0" collapsed="false">
      <c r="A19" s="2" t="n">
        <v>18</v>
      </c>
      <c r="B19" s="2" t="s">
        <v>79</v>
      </c>
      <c r="C19" s="2" t="s">
        <v>80</v>
      </c>
      <c r="D19" s="2" t="s">
        <v>81</v>
      </c>
      <c r="E19" s="2" t="s">
        <v>82</v>
      </c>
      <c r="F19" s="2"/>
    </row>
    <row r="20" customFormat="false" ht="30" hidden="false" customHeight="true" outlineLevel="0" collapsed="false">
      <c r="A20" s="2" t="n">
        <v>19</v>
      </c>
      <c r="B20" s="2" t="s">
        <v>83</v>
      </c>
      <c r="C20" s="2" t="s">
        <v>84</v>
      </c>
      <c r="D20" s="2" t="s">
        <v>85</v>
      </c>
      <c r="E20" s="2" t="s">
        <v>86</v>
      </c>
      <c r="F20" s="2"/>
    </row>
    <row r="21" customFormat="false" ht="30" hidden="false" customHeight="true" outlineLevel="0" collapsed="false">
      <c r="A21" s="3" t="n">
        <v>20</v>
      </c>
      <c r="B21" s="3" t="s">
        <v>87</v>
      </c>
      <c r="C21" s="3" t="s">
        <v>88</v>
      </c>
      <c r="D21" s="3" t="s">
        <v>89</v>
      </c>
      <c r="E21" s="3" t="s">
        <v>90</v>
      </c>
      <c r="F21" s="3" t="s">
        <v>91</v>
      </c>
    </row>
    <row r="22" customFormat="false" ht="30" hidden="false" customHeight="true" outlineLevel="0" collapsed="false">
      <c r="A22" s="2" t="n">
        <v>21</v>
      </c>
      <c r="B22" s="2" t="s">
        <v>92</v>
      </c>
      <c r="C22" s="2" t="s">
        <v>93</v>
      </c>
      <c r="D22" s="2" t="s">
        <v>94</v>
      </c>
      <c r="E22" s="2" t="s">
        <v>95</v>
      </c>
      <c r="F22" s="2"/>
    </row>
    <row r="23" customFormat="false" ht="30" hidden="false" customHeight="true" outlineLevel="0" collapsed="false">
      <c r="A23" s="3" t="n">
        <v>22</v>
      </c>
      <c r="B23" s="3" t="s">
        <v>96</v>
      </c>
      <c r="C23" s="3" t="s">
        <v>93</v>
      </c>
      <c r="D23" s="3" t="s">
        <v>97</v>
      </c>
      <c r="E23" s="3" t="s">
        <v>98</v>
      </c>
      <c r="F23" s="3" t="s">
        <v>99</v>
      </c>
    </row>
    <row r="24" customFormat="false" ht="30" hidden="false" customHeight="true" outlineLevel="0" collapsed="false">
      <c r="A24" s="3" t="n">
        <v>23</v>
      </c>
      <c r="B24" s="3" t="s">
        <v>100</v>
      </c>
      <c r="C24" s="3" t="s">
        <v>93</v>
      </c>
      <c r="D24" s="3" t="s">
        <v>29</v>
      </c>
      <c r="E24" s="3" t="s">
        <v>101</v>
      </c>
      <c r="F24" s="3" t="s">
        <v>102</v>
      </c>
    </row>
    <row r="25" customFormat="false" ht="30" hidden="false" customHeight="true" outlineLevel="0" collapsed="false">
      <c r="A25" s="3" t="n">
        <v>24</v>
      </c>
      <c r="B25" s="3" t="s">
        <v>103</v>
      </c>
      <c r="C25" s="3" t="s">
        <v>93</v>
      </c>
      <c r="D25" s="3" t="s">
        <v>29</v>
      </c>
      <c r="E25" s="3" t="s">
        <v>104</v>
      </c>
      <c r="F25" s="3" t="s">
        <v>105</v>
      </c>
    </row>
    <row r="26" customFormat="false" ht="30" hidden="false" customHeight="true" outlineLevel="0" collapsed="false">
      <c r="A26" s="3" t="n">
        <v>25</v>
      </c>
      <c r="B26" s="3" t="s">
        <v>106</v>
      </c>
      <c r="C26" s="3" t="s">
        <v>93</v>
      </c>
      <c r="D26" s="3" t="s">
        <v>107</v>
      </c>
      <c r="E26" s="3" t="s">
        <v>108</v>
      </c>
      <c r="F26" s="3" t="s">
        <v>109</v>
      </c>
    </row>
    <row r="27" customFormat="false" ht="30" hidden="false" customHeight="true" outlineLevel="0" collapsed="false">
      <c r="A27" s="2" t="n">
        <v>26</v>
      </c>
      <c r="B27" s="2" t="s">
        <v>110</v>
      </c>
      <c r="C27" s="2" t="s">
        <v>93</v>
      </c>
      <c r="D27" s="2" t="s">
        <v>111</v>
      </c>
      <c r="E27" s="2" t="s">
        <v>112</v>
      </c>
      <c r="F27" s="2"/>
    </row>
    <row r="28" customFormat="false" ht="30" hidden="false" customHeight="true" outlineLevel="0" collapsed="false">
      <c r="A28" s="3" t="n">
        <v>27</v>
      </c>
      <c r="B28" s="3" t="s">
        <v>113</v>
      </c>
      <c r="C28" s="3" t="s">
        <v>93</v>
      </c>
      <c r="D28" s="3" t="s">
        <v>8</v>
      </c>
      <c r="E28" s="3" t="s">
        <v>114</v>
      </c>
      <c r="F28" s="3" t="s">
        <v>115</v>
      </c>
    </row>
    <row r="29" customFormat="false" ht="30" hidden="false" customHeight="true" outlineLevel="0" collapsed="false">
      <c r="A29" s="2" t="n">
        <v>28</v>
      </c>
      <c r="B29" s="2" t="s">
        <v>116</v>
      </c>
      <c r="C29" s="2" t="s">
        <v>93</v>
      </c>
      <c r="D29" s="2" t="s">
        <v>117</v>
      </c>
      <c r="E29" s="2" t="s">
        <v>118</v>
      </c>
      <c r="F29" s="2"/>
    </row>
    <row r="30" customFormat="false" ht="30" hidden="false" customHeight="true" outlineLevel="0" collapsed="false">
      <c r="A30" s="3" t="n">
        <v>29</v>
      </c>
      <c r="B30" s="3" t="s">
        <v>119</v>
      </c>
      <c r="C30" s="3" t="s">
        <v>93</v>
      </c>
      <c r="D30" s="3" t="s">
        <v>8</v>
      </c>
      <c r="E30" s="3" t="s">
        <v>120</v>
      </c>
      <c r="F30" s="3" t="s">
        <v>39</v>
      </c>
    </row>
    <row r="31" customFormat="false" ht="30" hidden="false" customHeight="true" outlineLevel="0" collapsed="false">
      <c r="A31" s="2" t="n">
        <v>30</v>
      </c>
      <c r="B31" s="2" t="s">
        <v>121</v>
      </c>
      <c r="C31" s="2" t="s">
        <v>93</v>
      </c>
      <c r="D31" s="2" t="s">
        <v>122</v>
      </c>
      <c r="E31" s="2" t="s">
        <v>123</v>
      </c>
      <c r="F31" s="2"/>
    </row>
    <row r="32" customFormat="false" ht="30" hidden="false" customHeight="true" outlineLevel="0" collapsed="false">
      <c r="A32" s="2" t="n">
        <v>31</v>
      </c>
      <c r="B32" s="2" t="s">
        <v>124</v>
      </c>
      <c r="C32" s="2" t="s">
        <v>125</v>
      </c>
      <c r="D32" s="2" t="s">
        <v>126</v>
      </c>
      <c r="E32" s="2" t="s">
        <v>127</v>
      </c>
      <c r="F32" s="2"/>
    </row>
    <row r="33" customFormat="false" ht="30" hidden="false" customHeight="true" outlineLevel="0" collapsed="false">
      <c r="A33" s="2" t="n">
        <v>32</v>
      </c>
      <c r="B33" s="2" t="s">
        <v>128</v>
      </c>
      <c r="C33" s="2" t="s">
        <v>58</v>
      </c>
      <c r="D33" s="2" t="s">
        <v>129</v>
      </c>
      <c r="E33" s="2" t="s">
        <v>130</v>
      </c>
      <c r="F33" s="2"/>
    </row>
    <row r="34" customFormat="false" ht="30" hidden="false" customHeight="true" outlineLevel="0" collapsed="false">
      <c r="A34" s="2" t="n">
        <v>33</v>
      </c>
      <c r="B34" s="2" t="s">
        <v>131</v>
      </c>
      <c r="C34" s="2" t="s">
        <v>132</v>
      </c>
      <c r="D34" s="2" t="s">
        <v>133</v>
      </c>
      <c r="E34" s="2" t="s">
        <v>134</v>
      </c>
      <c r="F34" s="2"/>
    </row>
    <row r="35" customFormat="false" ht="30" hidden="false" customHeight="true" outlineLevel="0" collapsed="false">
      <c r="A35" s="2" t="n">
        <v>34</v>
      </c>
      <c r="B35" s="2" t="s">
        <v>135</v>
      </c>
      <c r="C35" s="2" t="s">
        <v>136</v>
      </c>
      <c r="D35" s="2" t="s">
        <v>137</v>
      </c>
      <c r="E35" s="2" t="s">
        <v>138</v>
      </c>
      <c r="F35" s="2"/>
    </row>
    <row r="36" customFormat="false" ht="30" hidden="false" customHeight="true" outlineLevel="0" collapsed="false">
      <c r="A36" s="3" t="n">
        <v>35</v>
      </c>
      <c r="B36" s="3" t="s">
        <v>139</v>
      </c>
      <c r="C36" s="3" t="s">
        <v>63</v>
      </c>
      <c r="D36" s="3" t="s">
        <v>140</v>
      </c>
      <c r="E36" s="3" t="s">
        <v>141</v>
      </c>
      <c r="F36" s="3" t="s">
        <v>142</v>
      </c>
    </row>
    <row r="37" customFormat="false" ht="30" hidden="false" customHeight="true" outlineLevel="0" collapsed="false">
      <c r="A37" s="3" t="n">
        <v>36</v>
      </c>
      <c r="B37" s="3" t="s">
        <v>143</v>
      </c>
      <c r="C37" s="3" t="s">
        <v>144</v>
      </c>
      <c r="D37" s="3" t="s">
        <v>145</v>
      </c>
      <c r="E37" s="3" t="s">
        <v>146</v>
      </c>
      <c r="F37" s="3" t="s">
        <v>147</v>
      </c>
    </row>
    <row r="38" customFormat="false" ht="30" hidden="false" customHeight="true" outlineLevel="0" collapsed="false">
      <c r="A38" s="3" t="n">
        <v>37</v>
      </c>
      <c r="B38" s="3" t="s">
        <v>148</v>
      </c>
      <c r="C38" s="3" t="s">
        <v>149</v>
      </c>
      <c r="D38" s="3" t="s">
        <v>150</v>
      </c>
      <c r="E38" s="3" t="s">
        <v>151</v>
      </c>
      <c r="F38" s="3" t="s">
        <v>152</v>
      </c>
    </row>
    <row r="39" customFormat="false" ht="30" hidden="false" customHeight="true" outlineLevel="0" collapsed="false">
      <c r="A39" s="3" t="n">
        <v>38</v>
      </c>
      <c r="B39" s="3" t="s">
        <v>153</v>
      </c>
      <c r="C39" s="3" t="s">
        <v>154</v>
      </c>
      <c r="D39" s="3" t="s">
        <v>97</v>
      </c>
      <c r="E39" s="3" t="s">
        <v>155</v>
      </c>
      <c r="F39" s="3" t="s">
        <v>156</v>
      </c>
    </row>
    <row r="40" customFormat="false" ht="30" hidden="false" customHeight="true" outlineLevel="0" collapsed="false">
      <c r="A40" s="2" t="n">
        <v>39</v>
      </c>
      <c r="B40" s="2" t="s">
        <v>157</v>
      </c>
      <c r="C40" s="2" t="s">
        <v>158</v>
      </c>
      <c r="D40" s="2" t="s">
        <v>159</v>
      </c>
      <c r="E40" s="2" t="s">
        <v>160</v>
      </c>
      <c r="F40" s="2"/>
    </row>
    <row r="41" customFormat="false" ht="30" hidden="false" customHeight="true" outlineLevel="0" collapsed="false">
      <c r="A41" s="3" t="n">
        <v>40</v>
      </c>
      <c r="B41" s="3" t="s">
        <v>161</v>
      </c>
      <c r="C41" s="3" t="s">
        <v>162</v>
      </c>
      <c r="D41" s="3" t="s">
        <v>163</v>
      </c>
      <c r="E41" s="3" t="s">
        <v>164</v>
      </c>
      <c r="F41" s="3" t="s">
        <v>165</v>
      </c>
    </row>
    <row r="42" customFormat="false" ht="30" hidden="false" customHeight="true" outlineLevel="0" collapsed="false">
      <c r="A42" s="3" t="n">
        <v>41</v>
      </c>
      <c r="B42" s="3" t="s">
        <v>166</v>
      </c>
      <c r="C42" s="3" t="s">
        <v>93</v>
      </c>
      <c r="D42" s="3" t="s">
        <v>167</v>
      </c>
      <c r="E42" s="3" t="s">
        <v>168</v>
      </c>
      <c r="F42" s="3" t="s">
        <v>169</v>
      </c>
    </row>
    <row r="43" customFormat="false" ht="30" hidden="false" customHeight="true" outlineLevel="0" collapsed="false">
      <c r="A43" s="3" t="n">
        <v>42</v>
      </c>
      <c r="B43" s="3" t="s">
        <v>170</v>
      </c>
      <c r="C43" s="3" t="s">
        <v>93</v>
      </c>
      <c r="D43" s="3" t="s">
        <v>20</v>
      </c>
      <c r="E43" s="3" t="s">
        <v>171</v>
      </c>
      <c r="F43" s="3" t="s">
        <v>172</v>
      </c>
    </row>
    <row r="44" customFormat="false" ht="30" hidden="false" customHeight="true" outlineLevel="0" collapsed="false">
      <c r="A44" s="3" t="n">
        <v>43</v>
      </c>
      <c r="B44" s="3" t="s">
        <v>173</v>
      </c>
      <c r="C44" s="3" t="s">
        <v>93</v>
      </c>
      <c r="D44" s="3" t="s">
        <v>20</v>
      </c>
      <c r="E44" s="3" t="s">
        <v>174</v>
      </c>
      <c r="F44" s="3" t="s">
        <v>175</v>
      </c>
    </row>
    <row r="45" customFormat="false" ht="30" hidden="false" customHeight="true" outlineLevel="0" collapsed="false">
      <c r="A45" s="3" t="n">
        <v>44</v>
      </c>
      <c r="B45" s="3" t="s">
        <v>176</v>
      </c>
      <c r="C45" s="3" t="s">
        <v>93</v>
      </c>
      <c r="D45" s="3" t="s">
        <v>177</v>
      </c>
      <c r="E45" s="3" t="s">
        <v>178</v>
      </c>
      <c r="F45" s="3" t="s">
        <v>179</v>
      </c>
    </row>
    <row r="46" customFormat="false" ht="30" hidden="false" customHeight="true" outlineLevel="0" collapsed="false">
      <c r="A46" s="3" t="n">
        <v>45</v>
      </c>
      <c r="B46" s="3" t="s">
        <v>180</v>
      </c>
      <c r="C46" s="3" t="s">
        <v>93</v>
      </c>
      <c r="D46" s="3" t="s">
        <v>181</v>
      </c>
      <c r="E46" s="3" t="s">
        <v>182</v>
      </c>
      <c r="F46" s="3" t="s">
        <v>183</v>
      </c>
    </row>
    <row r="47" customFormat="false" ht="30" hidden="false" customHeight="true" outlineLevel="0" collapsed="false">
      <c r="A47" s="3" t="n">
        <v>46</v>
      </c>
      <c r="B47" s="3" t="s">
        <v>184</v>
      </c>
      <c r="C47" s="3" t="s">
        <v>93</v>
      </c>
      <c r="D47" s="3" t="s">
        <v>20</v>
      </c>
      <c r="E47" s="3" t="s">
        <v>185</v>
      </c>
      <c r="F47" s="3" t="s">
        <v>186</v>
      </c>
    </row>
    <row r="48" customFormat="false" ht="30" hidden="false" customHeight="true" outlineLevel="0" collapsed="false">
      <c r="A48" s="3" t="n">
        <v>47</v>
      </c>
      <c r="B48" s="3" t="s">
        <v>187</v>
      </c>
      <c r="C48" s="3" t="s">
        <v>93</v>
      </c>
      <c r="D48" s="3" t="s">
        <v>20</v>
      </c>
      <c r="E48" s="3" t="s">
        <v>188</v>
      </c>
      <c r="F48" s="3" t="s">
        <v>189</v>
      </c>
    </row>
    <row r="49" customFormat="false" ht="30" hidden="false" customHeight="true" outlineLevel="0" collapsed="false">
      <c r="A49" s="2" t="n">
        <v>48</v>
      </c>
      <c r="B49" s="2" t="s">
        <v>190</v>
      </c>
      <c r="C49" s="2" t="s">
        <v>93</v>
      </c>
      <c r="D49" s="2" t="s">
        <v>191</v>
      </c>
      <c r="E49" s="2" t="s">
        <v>192</v>
      </c>
      <c r="F49" s="2"/>
    </row>
    <row r="50" customFormat="false" ht="30" hidden="false" customHeight="true" outlineLevel="0" collapsed="false">
      <c r="A50" s="3" t="n">
        <v>49</v>
      </c>
      <c r="B50" s="3" t="s">
        <v>193</v>
      </c>
      <c r="C50" s="3" t="s">
        <v>93</v>
      </c>
      <c r="D50" s="3" t="s">
        <v>194</v>
      </c>
      <c r="E50" s="3" t="s">
        <v>195</v>
      </c>
      <c r="F50" s="3" t="s">
        <v>196</v>
      </c>
    </row>
    <row r="51" customFormat="false" ht="30" hidden="false" customHeight="true" outlineLevel="0" collapsed="false">
      <c r="A51" s="3" t="n">
        <v>50</v>
      </c>
      <c r="B51" s="3" t="s">
        <v>197</v>
      </c>
      <c r="C51" s="3" t="s">
        <v>93</v>
      </c>
      <c r="D51" s="3" t="s">
        <v>198</v>
      </c>
      <c r="E51" s="3" t="s">
        <v>199</v>
      </c>
      <c r="F51" s="3" t="s">
        <v>200</v>
      </c>
    </row>
    <row r="52" customFormat="false" ht="30" hidden="false" customHeight="true" outlineLevel="0" collapsed="false">
      <c r="A52" s="3" t="n">
        <v>51</v>
      </c>
      <c r="B52" s="3" t="s">
        <v>201</v>
      </c>
      <c r="C52" s="3" t="s">
        <v>84</v>
      </c>
      <c r="D52" s="3" t="s">
        <v>202</v>
      </c>
      <c r="E52" s="3" t="s">
        <v>203</v>
      </c>
      <c r="F52" s="3" t="s">
        <v>204</v>
      </c>
    </row>
    <row r="53" customFormat="false" ht="30" hidden="false" customHeight="true" outlineLevel="0" collapsed="false">
      <c r="A53" s="3" t="n">
        <v>52</v>
      </c>
      <c r="B53" s="3" t="s">
        <v>205</v>
      </c>
      <c r="C53" s="3" t="s">
        <v>206</v>
      </c>
      <c r="D53" s="3" t="s">
        <v>207</v>
      </c>
      <c r="E53" s="3" t="s">
        <v>208</v>
      </c>
      <c r="F53" s="3" t="s">
        <v>209</v>
      </c>
    </row>
    <row r="54" customFormat="false" ht="30" hidden="false" customHeight="true" outlineLevel="0" collapsed="false">
      <c r="A54" s="2" t="n">
        <v>53</v>
      </c>
      <c r="B54" s="2" t="s">
        <v>210</v>
      </c>
      <c r="C54" s="2" t="s">
        <v>211</v>
      </c>
      <c r="D54" s="2" t="s">
        <v>212</v>
      </c>
      <c r="E54" s="2" t="s">
        <v>213</v>
      </c>
      <c r="F54" s="2"/>
    </row>
    <row r="55" customFormat="false" ht="30" hidden="false" customHeight="true" outlineLevel="0" collapsed="false">
      <c r="A55" s="2" t="n">
        <v>54</v>
      </c>
      <c r="B55" s="2" t="s">
        <v>214</v>
      </c>
      <c r="C55" s="2" t="s">
        <v>215</v>
      </c>
      <c r="D55" s="2" t="s">
        <v>216</v>
      </c>
      <c r="E55" s="2" t="s">
        <v>217</v>
      </c>
      <c r="F55" s="2"/>
    </row>
    <row r="56" customFormat="false" ht="30" hidden="false" customHeight="true" outlineLevel="0" collapsed="false">
      <c r="A56" s="3" t="n">
        <v>55</v>
      </c>
      <c r="B56" s="3" t="s">
        <v>218</v>
      </c>
      <c r="C56" s="3" t="s">
        <v>219</v>
      </c>
      <c r="D56" s="3" t="s">
        <v>220</v>
      </c>
      <c r="E56" s="3" t="s">
        <v>221</v>
      </c>
      <c r="F56" s="3" t="s">
        <v>222</v>
      </c>
    </row>
    <row r="57" customFormat="false" ht="30" hidden="false" customHeight="true" outlineLevel="0" collapsed="false">
      <c r="A57" s="2" t="n">
        <v>56</v>
      </c>
      <c r="B57" s="2" t="s">
        <v>223</v>
      </c>
      <c r="C57" s="2" t="s">
        <v>224</v>
      </c>
      <c r="D57" s="2" t="s">
        <v>225</v>
      </c>
      <c r="E57" s="2" t="s">
        <v>226</v>
      </c>
      <c r="F57" s="2"/>
    </row>
    <row r="58" customFormat="false" ht="30" hidden="false" customHeight="true" outlineLevel="0" collapsed="false">
      <c r="A58" s="3" t="n">
        <v>57</v>
      </c>
      <c r="B58" s="3" t="s">
        <v>227</v>
      </c>
      <c r="C58" s="3" t="s">
        <v>228</v>
      </c>
      <c r="D58" s="3" t="s">
        <v>229</v>
      </c>
      <c r="E58" s="3" t="s">
        <v>230</v>
      </c>
      <c r="F58" s="3" t="s">
        <v>231</v>
      </c>
    </row>
    <row r="59" customFormat="false" ht="30" hidden="false" customHeight="true" outlineLevel="0" collapsed="false">
      <c r="A59" s="2" t="n">
        <v>58</v>
      </c>
      <c r="B59" s="2" t="s">
        <v>232</v>
      </c>
      <c r="C59" s="2" t="s">
        <v>233</v>
      </c>
      <c r="D59" s="2" t="s">
        <v>234</v>
      </c>
      <c r="E59" s="2" t="s">
        <v>235</v>
      </c>
      <c r="F59" s="2"/>
    </row>
    <row r="60" customFormat="false" ht="30" hidden="false" customHeight="true" outlineLevel="0" collapsed="false">
      <c r="A60" s="3" t="n">
        <v>59</v>
      </c>
      <c r="B60" s="3" t="s">
        <v>236</v>
      </c>
      <c r="C60" s="3" t="s">
        <v>237</v>
      </c>
      <c r="D60" s="3" t="s">
        <v>238</v>
      </c>
      <c r="E60" s="3" t="s">
        <v>239</v>
      </c>
      <c r="F60" s="3" t="s">
        <v>240</v>
      </c>
    </row>
    <row r="61" customFormat="false" ht="30" hidden="false" customHeight="true" outlineLevel="0" collapsed="false">
      <c r="A61" s="3" t="n">
        <v>60</v>
      </c>
      <c r="B61" s="3" t="s">
        <v>241</v>
      </c>
      <c r="C61" s="3" t="s">
        <v>242</v>
      </c>
      <c r="D61" s="3" t="s">
        <v>29</v>
      </c>
      <c r="E61" s="3" t="s">
        <v>243</v>
      </c>
      <c r="F61" s="3" t="s">
        <v>244</v>
      </c>
    </row>
    <row r="62" customFormat="false" ht="30" hidden="false" customHeight="true" outlineLevel="0" collapsed="false">
      <c r="A62" s="3" t="n">
        <v>61</v>
      </c>
      <c r="B62" s="3" t="s">
        <v>245</v>
      </c>
      <c r="C62" s="3" t="s">
        <v>93</v>
      </c>
      <c r="D62" s="3" t="s">
        <v>89</v>
      </c>
      <c r="E62" s="3" t="s">
        <v>246</v>
      </c>
      <c r="F62" s="3" t="s">
        <v>247</v>
      </c>
    </row>
    <row r="63" customFormat="false" ht="30" hidden="false" customHeight="true" outlineLevel="0" collapsed="false">
      <c r="A63" s="2" t="n">
        <v>62</v>
      </c>
      <c r="B63" s="2" t="s">
        <v>248</v>
      </c>
      <c r="C63" s="2" t="s">
        <v>93</v>
      </c>
      <c r="D63" s="2" t="s">
        <v>249</v>
      </c>
      <c r="E63" s="2" t="s">
        <v>250</v>
      </c>
      <c r="F63" s="2"/>
    </row>
    <row r="64" customFormat="false" ht="30" hidden="false" customHeight="true" outlineLevel="0" collapsed="false">
      <c r="A64" s="2" t="n">
        <v>63</v>
      </c>
      <c r="B64" s="2" t="s">
        <v>251</v>
      </c>
      <c r="C64" s="2" t="s">
        <v>93</v>
      </c>
      <c r="D64" s="2" t="s">
        <v>252</v>
      </c>
      <c r="E64" s="2" t="s">
        <v>253</v>
      </c>
      <c r="F64" s="2"/>
    </row>
    <row r="65" customFormat="false" ht="30" hidden="false" customHeight="true" outlineLevel="0" collapsed="false">
      <c r="A65" s="3" t="n">
        <v>64</v>
      </c>
      <c r="B65" s="3" t="s">
        <v>254</v>
      </c>
      <c r="C65" s="3" t="s">
        <v>93</v>
      </c>
      <c r="D65" s="3" t="s">
        <v>150</v>
      </c>
      <c r="E65" s="3" t="s">
        <v>255</v>
      </c>
      <c r="F65" s="3" t="s">
        <v>256</v>
      </c>
    </row>
    <row r="66" customFormat="false" ht="30" hidden="false" customHeight="true" outlineLevel="0" collapsed="false">
      <c r="A66" s="3" t="n">
        <v>65</v>
      </c>
      <c r="B66" s="3" t="s">
        <v>257</v>
      </c>
      <c r="C66" s="3" t="s">
        <v>93</v>
      </c>
      <c r="D66" s="3" t="s">
        <v>198</v>
      </c>
      <c r="E66" s="3" t="s">
        <v>258</v>
      </c>
      <c r="F66" s="3" t="s">
        <v>259</v>
      </c>
    </row>
    <row r="67" customFormat="false" ht="30" hidden="false" customHeight="true" outlineLevel="0" collapsed="false">
      <c r="A67" s="2" t="n">
        <v>66</v>
      </c>
      <c r="B67" s="2" t="s">
        <v>260</v>
      </c>
      <c r="C67" s="2" t="s">
        <v>93</v>
      </c>
      <c r="D67" s="2" t="s">
        <v>97</v>
      </c>
      <c r="E67" s="2" t="s">
        <v>261</v>
      </c>
      <c r="F67" s="2"/>
    </row>
    <row r="68" customFormat="false" ht="30" hidden="false" customHeight="true" outlineLevel="0" collapsed="false">
      <c r="A68" s="3" t="n">
        <v>67</v>
      </c>
      <c r="B68" s="3" t="s">
        <v>262</v>
      </c>
      <c r="C68" s="3" t="s">
        <v>93</v>
      </c>
      <c r="D68" s="3" t="s">
        <v>194</v>
      </c>
      <c r="E68" s="3" t="s">
        <v>263</v>
      </c>
      <c r="F68" s="3" t="s">
        <v>264</v>
      </c>
    </row>
    <row r="69" customFormat="false" ht="30" hidden="false" customHeight="true" outlineLevel="0" collapsed="false">
      <c r="A69" s="3" t="n">
        <v>68</v>
      </c>
      <c r="B69" s="3" t="s">
        <v>265</v>
      </c>
      <c r="C69" s="3" t="s">
        <v>93</v>
      </c>
      <c r="D69" s="3" t="s">
        <v>266</v>
      </c>
      <c r="E69" s="3" t="s">
        <v>267</v>
      </c>
      <c r="F69" s="3" t="s">
        <v>268</v>
      </c>
    </row>
    <row r="70" customFormat="false" ht="30" hidden="false" customHeight="true" outlineLevel="0" collapsed="false">
      <c r="A70" s="3" t="n">
        <v>69</v>
      </c>
      <c r="B70" s="3" t="s">
        <v>269</v>
      </c>
      <c r="C70" s="3" t="s">
        <v>93</v>
      </c>
      <c r="D70" s="3" t="s">
        <v>270</v>
      </c>
      <c r="E70" s="3" t="s">
        <v>271</v>
      </c>
      <c r="F70" s="3" t="s">
        <v>272</v>
      </c>
    </row>
    <row r="71" customFormat="false" ht="30" hidden="false" customHeight="true" outlineLevel="0" collapsed="false">
      <c r="A71" s="3" t="n">
        <v>70</v>
      </c>
      <c r="B71" s="3" t="s">
        <v>273</v>
      </c>
      <c r="C71" s="3" t="s">
        <v>93</v>
      </c>
      <c r="D71" s="3" t="s">
        <v>177</v>
      </c>
      <c r="E71" s="3" t="s">
        <v>274</v>
      </c>
      <c r="F71" s="3" t="s">
        <v>275</v>
      </c>
    </row>
    <row r="72" customFormat="false" ht="30" hidden="false" customHeight="true" outlineLevel="0" collapsed="false">
      <c r="A72" s="2" t="n">
        <v>71</v>
      </c>
      <c r="B72" s="2" t="s">
        <v>276</v>
      </c>
      <c r="C72" s="2" t="s">
        <v>93</v>
      </c>
      <c r="D72" s="2" t="s">
        <v>277</v>
      </c>
      <c r="E72" s="2" t="s">
        <v>278</v>
      </c>
      <c r="F72" s="2"/>
    </row>
    <row r="73" customFormat="false" ht="30" hidden="false" customHeight="true" outlineLevel="0" collapsed="false">
      <c r="A73" s="3" t="n">
        <v>72</v>
      </c>
      <c r="B73" s="3" t="s">
        <v>279</v>
      </c>
      <c r="C73" s="3" t="s">
        <v>93</v>
      </c>
      <c r="D73" s="3" t="s">
        <v>107</v>
      </c>
      <c r="E73" s="3" t="s">
        <v>280</v>
      </c>
      <c r="F73" s="3" t="s">
        <v>281</v>
      </c>
    </row>
    <row r="74" customFormat="false" ht="30" hidden="false" customHeight="true" outlineLevel="0" collapsed="false">
      <c r="A74" s="3" t="n">
        <v>73</v>
      </c>
      <c r="B74" s="3" t="s">
        <v>282</v>
      </c>
      <c r="C74" s="3" t="s">
        <v>93</v>
      </c>
      <c r="D74" s="3" t="s">
        <v>283</v>
      </c>
      <c r="E74" s="3" t="s">
        <v>284</v>
      </c>
      <c r="F74" s="3" t="s">
        <v>285</v>
      </c>
    </row>
    <row r="75" customFormat="false" ht="30" hidden="false" customHeight="true" outlineLevel="0" collapsed="false">
      <c r="A75" s="2" t="n">
        <v>74</v>
      </c>
      <c r="B75" s="2" t="s">
        <v>286</v>
      </c>
      <c r="C75" s="2" t="s">
        <v>93</v>
      </c>
      <c r="D75" s="2" t="s">
        <v>287</v>
      </c>
      <c r="E75" s="2" t="s">
        <v>288</v>
      </c>
      <c r="F75" s="2"/>
    </row>
    <row r="76" customFormat="false" ht="30" hidden="false" customHeight="true" outlineLevel="0" collapsed="false">
      <c r="A76" s="3" t="n">
        <v>75</v>
      </c>
      <c r="B76" s="3" t="s">
        <v>289</v>
      </c>
      <c r="C76" s="3" t="s">
        <v>93</v>
      </c>
      <c r="D76" s="3" t="s">
        <v>290</v>
      </c>
      <c r="E76" s="3" t="s">
        <v>291</v>
      </c>
      <c r="F76" s="3" t="s"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48"/>
  </cols>
  <sheetData>
    <row r="1" customFormat="false" ht="21.75" hidden="false" customHeight="true" outlineLevel="0" collapsed="false">
      <c r="A1" s="4" t="s">
        <v>3</v>
      </c>
      <c r="B1" s="4" t="s">
        <v>293</v>
      </c>
      <c r="C1" s="4" t="s">
        <v>294</v>
      </c>
    </row>
    <row r="2" customFormat="false" ht="15" hidden="false" customHeight="false" outlineLevel="0" collapsed="false">
      <c r="A2" s="2" t="s">
        <v>97</v>
      </c>
      <c r="B2" s="2" t="n">
        <f aca="false">COUNTIF('Content Catalog'!D:D,"Betrayal/Trust")</f>
        <v>3</v>
      </c>
      <c r="C2" s="2" t="s">
        <v>295</v>
      </c>
    </row>
    <row r="3" customFormat="false" ht="15" hidden="false" customHeight="false" outlineLevel="0" collapsed="false">
      <c r="A3" s="2" t="s">
        <v>249</v>
      </c>
      <c r="B3" s="2" t="n">
        <f aca="false">COUNTIF('Content Catalog'!D:D,"Boundaries - Deflection")</f>
        <v>1</v>
      </c>
      <c r="C3" s="2" t="s">
        <v>295</v>
      </c>
    </row>
    <row r="4" customFormat="false" ht="15" hidden="false" customHeight="false" outlineLevel="0" collapsed="false">
      <c r="A4" s="2" t="s">
        <v>225</v>
      </c>
      <c r="B4" s="2" t="n">
        <f aca="false">COUNTIF('Content Catalog'!D:D,"Boundaries - Energy Management")</f>
        <v>1</v>
      </c>
      <c r="C4" s="2" t="s">
        <v>295</v>
      </c>
    </row>
    <row r="5" customFormat="false" ht="15" hidden="false" customHeight="false" outlineLevel="0" collapsed="false">
      <c r="A5" s="2" t="s">
        <v>150</v>
      </c>
      <c r="B5" s="2" t="n">
        <f aca="false">COUNTIF('Content Catalog'!D:D,"Envy - Blindspot")</f>
        <v>2</v>
      </c>
      <c r="C5" s="2" t="s">
        <v>295</v>
      </c>
    </row>
    <row r="6" customFormat="false" ht="15" hidden="false" customHeight="false" outlineLevel="0" collapsed="false">
      <c r="A6" s="2" t="s">
        <v>252</v>
      </c>
      <c r="B6" s="2" t="n">
        <f aca="false">COUNTIF('Content Catalog'!D:D,"Envy - Reframe")</f>
        <v>1</v>
      </c>
      <c r="C6" s="2" t="s">
        <v>295</v>
      </c>
    </row>
    <row r="7" customFormat="false" ht="15" hidden="false" customHeight="false" outlineLevel="0" collapsed="false">
      <c r="A7" s="2" t="s">
        <v>177</v>
      </c>
      <c r="B7" s="2" t="n">
        <f aca="false">COUNTIF('Content Catalog'!D:D,"Fake Friends")</f>
        <v>2</v>
      </c>
      <c r="C7" s="2" t="s">
        <v>295</v>
      </c>
    </row>
    <row r="8" customFormat="false" ht="15" hidden="false" customHeight="false" outlineLevel="0" collapsed="false">
      <c r="A8" s="2" t="s">
        <v>198</v>
      </c>
      <c r="B8" s="2" t="n">
        <f aca="false">COUNTIF('Content Catalog'!D:D,"Fake Friends/Friendship Fallout")</f>
        <v>2</v>
      </c>
      <c r="C8" s="2" t="s">
        <v>295</v>
      </c>
    </row>
    <row r="9" customFormat="false" ht="15" hidden="false" customHeight="false" outlineLevel="0" collapsed="false">
      <c r="A9" s="2" t="s">
        <v>68</v>
      </c>
      <c r="B9" s="2" t="n">
        <f aca="false">COUNTIF('Content Catalog'!D:D,"Freudian - Envy")</f>
        <v>1</v>
      </c>
      <c r="C9" s="2" t="s">
        <v>295</v>
      </c>
    </row>
    <row r="10" customFormat="false" ht="15" hidden="false" customHeight="false" outlineLevel="0" collapsed="false">
      <c r="A10" s="2" t="s">
        <v>126</v>
      </c>
      <c r="B10" s="2" t="n">
        <f aca="false">COUNTIF('Content Catalog'!D:D,"Jealousy - Manipulation")</f>
        <v>1</v>
      </c>
      <c r="C10" s="2" t="s">
        <v>295</v>
      </c>
    </row>
    <row r="11" customFormat="false" ht="15" hidden="false" customHeight="false" outlineLevel="0" collapsed="false">
      <c r="A11" s="2" t="s">
        <v>163</v>
      </c>
      <c r="B11" s="2" t="n">
        <f aca="false">COUNTIF('Content Catalog'!D:D,"Jealousy - Subtle Signs")</f>
        <v>1</v>
      </c>
      <c r="C11" s="2" t="s">
        <v>295</v>
      </c>
    </row>
    <row r="12" customFormat="false" ht="15" hidden="false" customHeight="false" outlineLevel="0" collapsed="false">
      <c r="A12" s="2" t="s">
        <v>229</v>
      </c>
      <c r="B12" s="2" t="n">
        <f aca="false">COUNTIF('Content Catalog'!D:D,"Jealousy - Validation")</f>
        <v>1</v>
      </c>
      <c r="C12" s="2" t="s">
        <v>295</v>
      </c>
    </row>
    <row r="13" customFormat="false" ht="15" hidden="false" customHeight="false" outlineLevel="0" collapsed="false">
      <c r="A13" s="2" t="s">
        <v>194</v>
      </c>
      <c r="B13" s="2" t="n">
        <f aca="false">COUNTIF('Content Catalog'!D:D,"Jealousy - Verbal Cues")</f>
        <v>2</v>
      </c>
      <c r="C13" s="2" t="s">
        <v>295</v>
      </c>
    </row>
    <row r="14" customFormat="false" ht="15" hidden="false" customHeight="false" outlineLevel="0" collapsed="false">
      <c r="A14" s="2" t="s">
        <v>220</v>
      </c>
      <c r="B14" s="2" t="n">
        <f aca="false">COUNTIF('Content Catalog'!D:D,"Jealousy - Verbal Putdowns")</f>
        <v>1</v>
      </c>
      <c r="C14" s="2" t="s">
        <v>295</v>
      </c>
    </row>
    <row r="15" customFormat="false" ht="15" hidden="false" customHeight="false" outlineLevel="0" collapsed="false">
      <c r="A15" s="2" t="s">
        <v>129</v>
      </c>
      <c r="B15" s="2" t="n">
        <f aca="false">COUNTIF('Content Catalog'!D:D,"Jealousy - Verbal/Questions")</f>
        <v>1</v>
      </c>
      <c r="C15" s="2" t="s">
        <v>295</v>
      </c>
    </row>
    <row r="16" customFormat="false" ht="15" hidden="false" customHeight="false" outlineLevel="0" collapsed="false">
      <c r="A16" s="2" t="s">
        <v>167</v>
      </c>
      <c r="B16" s="2" t="n">
        <f aca="false">COUNTIF('Content Catalog'!D:D,"Jealousy - Verbal/Trust")</f>
        <v>1</v>
      </c>
      <c r="C16" s="2" t="s">
        <v>295</v>
      </c>
    </row>
    <row r="17" customFormat="false" ht="15" hidden="false" customHeight="false" outlineLevel="0" collapsed="false">
      <c r="A17" s="2" t="s">
        <v>181</v>
      </c>
      <c r="B17" s="2" t="n">
        <f aca="false">COUNTIF('Content Catalog'!D:D,"Jealousy/Reverse Psych - Secret Hate")</f>
        <v>1</v>
      </c>
      <c r="C17" s="2" t="s">
        <v>295</v>
      </c>
    </row>
    <row r="18" customFormat="false" ht="15" hidden="false" customHeight="false" outlineLevel="0" collapsed="false">
      <c r="A18" s="2" t="s">
        <v>12</v>
      </c>
      <c r="B18" s="2" t="n">
        <f aca="false">COUNTIF('Content Catalog'!D:D,"Jungian Shadow")</f>
        <v>3</v>
      </c>
      <c r="C18" s="2" t="s">
        <v>295</v>
      </c>
    </row>
    <row r="19" customFormat="false" ht="15" hidden="false" customHeight="false" outlineLevel="0" collapsed="false">
      <c r="A19" s="2" t="s">
        <v>85</v>
      </c>
      <c r="B19" s="2" t="n">
        <f aca="false">COUNTIF('Content Catalog'!D:D,"Jungian Shadow + Reverse Psych")</f>
        <v>1</v>
      </c>
      <c r="C19" s="2" t="s">
        <v>295</v>
      </c>
    </row>
    <row r="20" customFormat="false" ht="15" hidden="false" customHeight="false" outlineLevel="0" collapsed="false">
      <c r="A20" s="2" t="s">
        <v>94</v>
      </c>
      <c r="B20" s="2" t="n">
        <f aca="false">COUNTIF('Content Catalog'!D:D,"Jungian Shadow - Detachment")</f>
        <v>1</v>
      </c>
      <c r="C20" s="2" t="s">
        <v>295</v>
      </c>
    </row>
    <row r="21" customFormat="false" ht="15" hidden="false" customHeight="false" outlineLevel="0" collapsed="false">
      <c r="A21" s="2" t="s">
        <v>117</v>
      </c>
      <c r="B21" s="2" t="n">
        <f aca="false">COUNTIF('Content Catalog'!D:D,"Jungian Shadow - Empaths")</f>
        <v>1</v>
      </c>
      <c r="C21" s="2" t="s">
        <v>295</v>
      </c>
    </row>
    <row r="22" customFormat="false" ht="15" hidden="false" customHeight="false" outlineLevel="0" collapsed="false">
      <c r="A22" s="2" t="s">
        <v>46</v>
      </c>
      <c r="B22" s="2" t="n">
        <f aca="false">COUNTIF('Content Catalog'!D:D,"Jungian Shadow - Envy")</f>
        <v>2</v>
      </c>
      <c r="C22" s="2" t="s">
        <v>295</v>
      </c>
    </row>
    <row r="23" customFormat="false" ht="15" hidden="false" customHeight="false" outlineLevel="0" collapsed="false">
      <c r="A23" s="2" t="s">
        <v>77</v>
      </c>
      <c r="B23" s="2" t="n">
        <f aca="false">COUNTIF('Content Catalog'!D:D,"Jungian Shadow - People-Pleasing")</f>
        <v>1</v>
      </c>
      <c r="C23" s="2" t="s">
        <v>295</v>
      </c>
    </row>
    <row r="24" customFormat="false" ht="15" hidden="false" customHeight="false" outlineLevel="0" collapsed="false">
      <c r="A24" s="2" t="s">
        <v>20</v>
      </c>
      <c r="B24" s="2" t="n">
        <f aca="false">COUNTIF('Content Catalog'!D:D,"Jungian Shadow - Secret Hate")</f>
        <v>7</v>
      </c>
      <c r="C24" s="2" t="s">
        <v>295</v>
      </c>
    </row>
    <row r="25" customFormat="false" ht="15" hidden="false" customHeight="false" outlineLevel="0" collapsed="false">
      <c r="A25" s="2" t="s">
        <v>145</v>
      </c>
      <c r="B25" s="2" t="n">
        <f aca="false">COUNTIF('Content Catalog'!D:D,"Jungian-adjacent - Hidden Hate")</f>
        <v>1</v>
      </c>
      <c r="C25" s="2" t="s">
        <v>295</v>
      </c>
    </row>
    <row r="26" customFormat="false" ht="15" hidden="false" customHeight="false" outlineLevel="0" collapsed="false">
      <c r="A26" s="2" t="s">
        <v>207</v>
      </c>
      <c r="B26" s="2" t="n">
        <f aca="false">COUNTIF('Content Catalog'!D:D,"Jungian-adjacent - Secret Hate")</f>
        <v>1</v>
      </c>
      <c r="C26" s="2" t="s">
        <v>295</v>
      </c>
    </row>
    <row r="27" customFormat="false" ht="15" hidden="false" customHeight="false" outlineLevel="0" collapsed="false">
      <c r="A27" s="2" t="s">
        <v>51</v>
      </c>
      <c r="B27" s="2" t="n">
        <f aca="false">COUNTIF('Content Catalog'!D:D,"Jungian/Freudian - Envy")</f>
        <v>1</v>
      </c>
      <c r="C27" s="2" t="s">
        <v>295</v>
      </c>
    </row>
    <row r="28" customFormat="false" ht="15" hidden="false" customHeight="false" outlineLevel="0" collapsed="false">
      <c r="A28" s="2" t="s">
        <v>111</v>
      </c>
      <c r="B28" s="2" t="n">
        <f aca="false">COUNTIF('Content Catalog'!D:D,"Manipulation Tactics")</f>
        <v>1</v>
      </c>
      <c r="C28" s="2" t="s">
        <v>295</v>
      </c>
    </row>
    <row r="29" customFormat="false" ht="15" hidden="false" customHeight="false" outlineLevel="0" collapsed="false">
      <c r="A29" s="2" t="s">
        <v>283</v>
      </c>
      <c r="B29" s="2" t="n">
        <f aca="false">COUNTIF('Content Catalog'!D:D,"Manipulation Tactics - Gaslighting")</f>
        <v>1</v>
      </c>
      <c r="C29" s="2" t="s">
        <v>295</v>
      </c>
    </row>
    <row r="30" customFormat="false" ht="15" hidden="false" customHeight="false" outlineLevel="0" collapsed="false">
      <c r="A30" s="2" t="s">
        <v>73</v>
      </c>
      <c r="B30" s="2" t="n">
        <f aca="false">COUNTIF('Content Catalog'!D:D,"Outlier - Aging/Philosophy")</f>
        <v>1</v>
      </c>
      <c r="C30" s="2" t="s">
        <v>295</v>
      </c>
    </row>
    <row r="31" customFormat="false" ht="15" hidden="false" customHeight="false" outlineLevel="0" collapsed="false">
      <c r="A31" s="2" t="s">
        <v>277</v>
      </c>
      <c r="B31" s="2" t="n">
        <f aca="false">COUNTIF('Content Catalog'!D:D,"Outlier - Ambition/Burnout")</f>
        <v>1</v>
      </c>
      <c r="C31" s="2" t="s">
        <v>295</v>
      </c>
    </row>
    <row r="32" customFormat="false" ht="15" hidden="false" customHeight="false" outlineLevel="0" collapsed="false">
      <c r="A32" s="2" t="s">
        <v>133</v>
      </c>
      <c r="B32" s="2" t="n">
        <f aca="false">COUNTIF('Content Catalog'!D:D,"Outlier - Burnout/Motivation")</f>
        <v>1</v>
      </c>
      <c r="C32" s="2" t="s">
        <v>295</v>
      </c>
    </row>
    <row r="33" customFormat="false" ht="15" hidden="false" customHeight="false" outlineLevel="0" collapsed="false">
      <c r="A33" s="2" t="s">
        <v>81</v>
      </c>
      <c r="B33" s="2" t="n">
        <f aca="false">COUNTIF('Content Catalog'!D:D,"Outlier - Daydreaming")</f>
        <v>1</v>
      </c>
      <c r="C33" s="2" t="s">
        <v>295</v>
      </c>
    </row>
    <row r="34" customFormat="false" ht="15" hidden="false" customHeight="false" outlineLevel="0" collapsed="false">
      <c r="A34" s="2" t="s">
        <v>234</v>
      </c>
      <c r="B34" s="2" t="n">
        <f aca="false">COUNTIF('Content Catalog'!D:D,"Outlier - Dislike/Boundaries")</f>
        <v>1</v>
      </c>
      <c r="C34" s="2" t="s">
        <v>295</v>
      </c>
    </row>
    <row r="35" customFormat="false" ht="15" hidden="false" customHeight="false" outlineLevel="0" collapsed="false">
      <c r="A35" s="2" t="s">
        <v>287</v>
      </c>
      <c r="B35" s="2" t="n">
        <f aca="false">COUNTIF('Content Catalog'!D:D,"Outlier - Habits/Self-Improvement")</f>
        <v>1</v>
      </c>
      <c r="C35" s="2" t="s">
        <v>295</v>
      </c>
    </row>
    <row r="36" customFormat="false" ht="15" hidden="false" customHeight="false" outlineLevel="0" collapsed="false">
      <c r="A36" s="2" t="s">
        <v>212</v>
      </c>
      <c r="B36" s="2" t="n">
        <f aca="false">COUNTIF('Content Catalog'!D:D,"Outlier - Healing/Positive")</f>
        <v>1</v>
      </c>
      <c r="C36" s="2" t="s">
        <v>295</v>
      </c>
    </row>
    <row r="37" customFormat="false" ht="15" hidden="false" customHeight="false" outlineLevel="0" collapsed="false">
      <c r="A37" s="2" t="s">
        <v>159</v>
      </c>
      <c r="B37" s="2" t="n">
        <f aca="false">COUNTIF('Content Catalog'!D:D,"Outlier - Introversion/Masking")</f>
        <v>1</v>
      </c>
      <c r="C37" s="2" t="s">
        <v>295</v>
      </c>
    </row>
    <row r="38" customFormat="false" ht="15" hidden="false" customHeight="false" outlineLevel="0" collapsed="false">
      <c r="A38" s="2" t="s">
        <v>122</v>
      </c>
      <c r="B38" s="2" t="n">
        <f aca="false">COUNTIF('Content Catalog'!D:D,"Outlier - Likability/Charisma")</f>
        <v>1</v>
      </c>
      <c r="C38" s="2" t="s">
        <v>295</v>
      </c>
    </row>
    <row r="39" customFormat="false" ht="15" hidden="false" customHeight="false" outlineLevel="0" collapsed="false">
      <c r="A39" s="2" t="s">
        <v>25</v>
      </c>
      <c r="B39" s="2" t="n">
        <f aca="false">COUNTIF('Content Catalog'!D:D,"Outlier - Relationship Philosophy")</f>
        <v>1</v>
      </c>
      <c r="C39" s="2" t="s">
        <v>295</v>
      </c>
    </row>
    <row r="40" customFormat="false" ht="15" hidden="false" customHeight="false" outlineLevel="0" collapsed="false">
      <c r="A40" s="2" t="s">
        <v>270</v>
      </c>
      <c r="B40" s="2" t="n">
        <f aca="false">COUNTIF('Content Catalog'!D:D,"Outlier - Rumination/Past")</f>
        <v>1</v>
      </c>
      <c r="C40" s="2" t="s">
        <v>295</v>
      </c>
    </row>
    <row r="41" customFormat="false" ht="15" hidden="false" customHeight="false" outlineLevel="0" collapsed="false">
      <c r="A41" s="2" t="s">
        <v>137</v>
      </c>
      <c r="B41" s="2" t="n">
        <f aca="false">COUNTIF('Content Catalog'!D:D,"Outlier - Self-Investment/Celebrity")</f>
        <v>1</v>
      </c>
      <c r="C41" s="2" t="s">
        <v>295</v>
      </c>
    </row>
    <row r="42" customFormat="false" ht="15" hidden="false" customHeight="false" outlineLevel="0" collapsed="false">
      <c r="A42" s="2" t="s">
        <v>202</v>
      </c>
      <c r="B42" s="2" t="n">
        <f aca="false">COUNTIF('Content Catalog'!D:D,"Outlier - Toxic Attachment/Rumination")</f>
        <v>1</v>
      </c>
      <c r="C42" s="2" t="s">
        <v>295</v>
      </c>
    </row>
    <row r="43" customFormat="false" ht="15" hidden="false" customHeight="false" outlineLevel="0" collapsed="false">
      <c r="A43" s="2" t="s">
        <v>191</v>
      </c>
      <c r="B43" s="2" t="n">
        <f aca="false">COUNTIF('Content Catalog'!D:D,"Power Dynamics - Secret Hate")</f>
        <v>1</v>
      </c>
      <c r="C43" s="2" t="s">
        <v>295</v>
      </c>
    </row>
    <row r="44" customFormat="false" ht="15" hidden="false" customHeight="false" outlineLevel="0" collapsed="false">
      <c r="A44" s="2" t="s">
        <v>140</v>
      </c>
      <c r="B44" s="2" t="n">
        <f aca="false">COUNTIF('Content Catalog'!D:D,"Respect/Boundaries - Commanding Respect")</f>
        <v>1</v>
      </c>
      <c r="C44" s="2" t="s">
        <v>295</v>
      </c>
    </row>
    <row r="45" customFormat="false" ht="15" hidden="false" customHeight="false" outlineLevel="0" collapsed="false">
      <c r="A45" s="2" t="s">
        <v>89</v>
      </c>
      <c r="B45" s="2" t="n">
        <f aca="false">COUNTIF('Content Catalog'!D:D,"Respect/Boundaries - Disrespect")</f>
        <v>2</v>
      </c>
      <c r="C45" s="2" t="s">
        <v>295</v>
      </c>
    </row>
    <row r="46" customFormat="false" ht="15" hidden="false" customHeight="false" outlineLevel="0" collapsed="false">
      <c r="A46" s="2" t="s">
        <v>290</v>
      </c>
      <c r="B46" s="2" t="n">
        <f aca="false">COUNTIF('Content Catalog'!D:D,"Respect/Boundaries - Earning Respect")</f>
        <v>1</v>
      </c>
      <c r="C46" s="2" t="s">
        <v>295</v>
      </c>
    </row>
    <row r="47" customFormat="false" ht="15" hidden="false" customHeight="false" outlineLevel="0" collapsed="false">
      <c r="A47" s="2" t="s">
        <v>266</v>
      </c>
      <c r="B47" s="2" t="n">
        <f aca="false">COUNTIF('Content Catalog'!D:D,"Respect/Boundaries - Micro-Disrespect")</f>
        <v>1</v>
      </c>
      <c r="C47" s="2" t="s">
        <v>295</v>
      </c>
    </row>
    <row r="48" customFormat="false" ht="15" hidden="false" customHeight="false" outlineLevel="0" collapsed="false">
      <c r="A48" s="2" t="s">
        <v>59</v>
      </c>
      <c r="B48" s="2" t="n">
        <f aca="false">COUNTIF('Content Catalog'!D:D,"Reverse Psychology - Verbal")</f>
        <v>1</v>
      </c>
      <c r="C48" s="2" t="s">
        <v>295</v>
      </c>
    </row>
    <row r="49" customFormat="false" ht="15" hidden="false" customHeight="false" outlineLevel="0" collapsed="false">
      <c r="A49" s="2" t="s">
        <v>29</v>
      </c>
      <c r="B49" s="2" t="n">
        <f aca="false">COUNTIF('Content Catalog'!D:D,"Reverse Psychology - Verbal/Behavioral")</f>
        <v>4</v>
      </c>
      <c r="C49" s="2" t="s">
        <v>295</v>
      </c>
    </row>
    <row r="50" customFormat="false" ht="15" hidden="false" customHeight="false" outlineLevel="0" collapsed="false">
      <c r="A50" s="2" t="s">
        <v>216</v>
      </c>
      <c r="B50" s="2" t="n">
        <f aca="false">COUNTIF('Content Catalog'!D:D,"Self-Worth/High-Value")</f>
        <v>1</v>
      </c>
      <c r="C50" s="2" t="s">
        <v>295</v>
      </c>
    </row>
    <row r="51" customFormat="false" ht="15" hidden="false" customHeight="false" outlineLevel="0" collapsed="false">
      <c r="A51" s="2" t="s">
        <v>8</v>
      </c>
      <c r="B51" s="2" t="n">
        <f aca="false">COUNTIF('Content Catalog'!D:D,"Signs/Listicle - Envy")</f>
        <v>4</v>
      </c>
      <c r="C51" s="2" t="s">
        <v>295</v>
      </c>
    </row>
    <row r="52" customFormat="false" ht="15" hidden="false" customHeight="false" outlineLevel="0" collapsed="false">
      <c r="A52" s="2" t="s">
        <v>238</v>
      </c>
      <c r="B52" s="2" t="n">
        <f aca="false">COUNTIF('Content Catalog'!D:D,"Signs/Listicle - Jealousy")</f>
        <v>1</v>
      </c>
      <c r="C52" s="2" t="s">
        <v>295</v>
      </c>
    </row>
    <row r="53" customFormat="false" ht="15" hidden="false" customHeight="false" outlineLevel="0" collapsed="false">
      <c r="A53" s="2" t="s">
        <v>107</v>
      </c>
      <c r="B53" s="2" t="n">
        <f aca="false">COUNTIF('Content Catalog'!D:D,"Stoicism - Composure")</f>
        <v>2</v>
      </c>
      <c r="C53" s="2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5" t="s">
        <v>296</v>
      </c>
      <c r="B1" s="5"/>
    </row>
    <row r="3" customFormat="false" ht="19.5" hidden="false" customHeight="true" outlineLevel="0" collapsed="false">
      <c r="A3" s="6"/>
      <c r="B3" s="7" t="s">
        <v>297</v>
      </c>
    </row>
    <row r="4" customFormat="false" ht="31.5" hidden="false" customHeight="true" outlineLevel="0" collapsed="false">
      <c r="B4" s="8" t="s">
        <v>298</v>
      </c>
    </row>
    <row r="5" customFormat="false" ht="31.5" hidden="false" customHeight="true" outlineLevel="0" collapsed="false">
      <c r="B5" s="8" t="s">
        <v>299</v>
      </c>
    </row>
    <row r="6" customFormat="false" ht="19.5" hidden="false" customHeight="true" outlineLevel="0" collapsed="false">
      <c r="A6" s="6"/>
      <c r="B6" s="7" t="s">
        <v>300</v>
      </c>
    </row>
    <row r="7" customFormat="false" ht="31.5" hidden="false" customHeight="true" outlineLevel="0" collapsed="false">
      <c r="B7" s="8" t="s">
        <v>301</v>
      </c>
    </row>
    <row r="8" customFormat="false" ht="31.5" hidden="false" customHeight="true" outlineLevel="0" collapsed="false">
      <c r="B8" s="8" t="s">
        <v>302</v>
      </c>
    </row>
    <row r="9" customFormat="false" ht="19.5" hidden="false" customHeight="true" outlineLevel="0" collapsed="false">
      <c r="A9" s="6"/>
      <c r="B9" s="7" t="s">
        <v>303</v>
      </c>
    </row>
    <row r="10" customFormat="false" ht="31.5" hidden="false" customHeight="true" outlineLevel="0" collapsed="false">
      <c r="B10" s="8" t="s">
        <v>304</v>
      </c>
    </row>
    <row r="11" customFormat="false" ht="31.5" hidden="false" customHeight="true" outlineLevel="0" collapsed="false">
      <c r="B11" s="8" t="s">
        <v>305</v>
      </c>
    </row>
    <row r="12" customFormat="false" ht="19.5" hidden="false" customHeight="true" outlineLevel="0" collapsed="false">
      <c r="A12" s="6"/>
      <c r="B12" s="7" t="s">
        <v>306</v>
      </c>
    </row>
    <row r="13" customFormat="false" ht="31.5" hidden="false" customHeight="true" outlineLevel="0" collapsed="false">
      <c r="B13" s="8" t="s">
        <v>307</v>
      </c>
    </row>
    <row r="14" customFormat="false" ht="31.5" hidden="false" customHeight="true" outlineLevel="0" collapsed="false">
      <c r="B14" s="8" t="s">
        <v>308</v>
      </c>
    </row>
    <row r="15" customFormat="false" ht="19.5" hidden="false" customHeight="true" outlineLevel="0" collapsed="false">
      <c r="A15" s="6"/>
      <c r="B15" s="7" t="s">
        <v>309</v>
      </c>
    </row>
    <row r="16" customFormat="false" ht="31.5" hidden="false" customHeight="true" outlineLevel="0" collapsed="false">
      <c r="B16" s="8" t="s">
        <v>310</v>
      </c>
    </row>
    <row r="17" customFormat="false" ht="31.5" hidden="false" customHeight="true" outlineLevel="0" collapsed="false">
      <c r="B17" s="8" t="s">
        <v>311</v>
      </c>
    </row>
    <row r="18" customFormat="false" ht="19.5" hidden="false" customHeight="true" outlineLevel="0" collapsed="false">
      <c r="A18" s="6"/>
      <c r="B18" s="7" t="s">
        <v>312</v>
      </c>
    </row>
    <row r="19" customFormat="false" ht="31.5" hidden="false" customHeight="true" outlineLevel="0" collapsed="false">
      <c r="B19" s="8" t="s">
        <v>313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2026-10-05T06:50:41Z</dcterms:created>
  <dc:creator>openpyxl</dc:creator>
  <dc:description/>
  <dc:language>en-US</dc:language>
  <cp:lastModifiedBy/>
  <dcterms:modified xsi:type="dcterms:W3CDTF">2026-10-05T06:50:41Z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